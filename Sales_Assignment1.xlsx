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sus\Desktop\Assignments\"/>
    </mc:Choice>
  </mc:AlternateContent>
  <bookViews>
    <workbookView xWindow="0" yWindow="0" windowWidth="19200" windowHeight="7050" activeTab="2"/>
  </bookViews>
  <sheets>
    <sheet name="Cleaned Sales Data" sheetId="2" r:id="rId1"/>
    <sheet name="Pivot Tables" sheetId="3" r:id="rId2"/>
    <sheet name="Dashboard" sheetId="5" r:id="rId3"/>
  </sheets>
  <definedNames>
    <definedName name="ExternalData_1" localSheetId="0" hidden="1">'Cleaned Sales Data'!$A$1:$K$497</definedName>
    <definedName name="NativeTimeline_Date">#N/A</definedName>
    <definedName name="Slicer_Category">#N/A</definedName>
    <definedName name="Slicer_Quarter">#N/A</definedName>
    <definedName name="Slicer_Region">#N/A</definedName>
  </definedNames>
  <calcPr calcId="162913" calcMode="manual"/>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4" i="5" l="1"/>
  <c r="M4" i="2" l="1"/>
  <c r="M2" i="2"/>
  <c r="M3" i="2"/>
  <c r="N4" i="5"/>
  <c r="L4" i="5"/>
  <c r="J4" i="5"/>
</calcChain>
</file>

<file path=xl/connections.xml><?xml version="1.0" encoding="utf-8"?>
<connections xmlns="http://schemas.openxmlformats.org/spreadsheetml/2006/main">
  <connection id="1" keepAlive="1" name="Query - SalesData" description="Connection to the 'SalesData' query in the workbook." type="5" refreshedVersion="6"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<sst xmlns="http://schemas.openxmlformats.org/spreadsheetml/2006/main" count="3042" uniqueCount="567">
  <si>
    <t>Order ID</t>
  </si>
  <si>
    <t>Date</t>
  </si>
  <si>
    <t>Region</t>
  </si>
  <si>
    <t>Category</t>
  </si>
  <si>
    <t>Product</t>
  </si>
  <si>
    <t>Quantity</t>
  </si>
  <si>
    <t>Unit Price</t>
  </si>
  <si>
    <t>Revenue</t>
  </si>
  <si>
    <t>Month</t>
  </si>
  <si>
    <t>Year</t>
  </si>
  <si>
    <t>Quarter</t>
  </si>
  <si>
    <t>ORD-10374</t>
  </si>
  <si>
    <t>West</t>
  </si>
  <si>
    <t>Networking</t>
  </si>
  <si>
    <t>VPN Device</t>
  </si>
  <si>
    <t>Jun</t>
  </si>
  <si>
    <t>2024</t>
  </si>
  <si>
    <t>ORD-10433</t>
  </si>
  <si>
    <t>Central</t>
  </si>
  <si>
    <t>Office Supplies</t>
  </si>
  <si>
    <t>Whiteboard</t>
  </si>
  <si>
    <t>Dec</t>
  </si>
  <si>
    <t>ORD-10520</t>
  </si>
  <si>
    <t>East</t>
  </si>
  <si>
    <t>Electronics</t>
  </si>
  <si>
    <t>Smart Watch</t>
  </si>
  <si>
    <t>Mar</t>
  </si>
  <si>
    <t>ORD-10003</t>
  </si>
  <si>
    <t>Desk Organizer</t>
  </si>
  <si>
    <t>Oct</t>
  </si>
  <si>
    <t>ORD-10218</t>
  </si>
  <si>
    <t>Standing Desk</t>
  </si>
  <si>
    <t>ORD-10352</t>
  </si>
  <si>
    <t>ORD-10498</t>
  </si>
  <si>
    <t>Wireless Earbuds</t>
  </si>
  <si>
    <t>ORD-10379</t>
  </si>
  <si>
    <t>Ethernet Cable</t>
  </si>
  <si>
    <t>Sep</t>
  </si>
  <si>
    <t>ORD-10364</t>
  </si>
  <si>
    <t>Software</t>
  </si>
  <si>
    <t>Project Mgmt Tool</t>
  </si>
  <si>
    <t>Nov</t>
  </si>
  <si>
    <t>ORD-10310</t>
  </si>
  <si>
    <t>Webcam HD</t>
  </si>
  <si>
    <t>ORD-10183</t>
  </si>
  <si>
    <t>South</t>
  </si>
  <si>
    <t>ORD-10283</t>
  </si>
  <si>
    <t>North</t>
  </si>
  <si>
    <t>ORD-10243</t>
  </si>
  <si>
    <t>Accessories</t>
  </si>
  <si>
    <t>Phone Case</t>
  </si>
  <si>
    <t>ORD-10237</t>
  </si>
  <si>
    <t>Cable Kit</t>
  </si>
  <si>
    <t>ORD-10487</t>
  </si>
  <si>
    <t>Apr</t>
  </si>
  <si>
    <t>ORD-10025</t>
  </si>
  <si>
    <t>Jul</t>
  </si>
  <si>
    <t>ORD-10091</t>
  </si>
  <si>
    <t>Cloud Backup</t>
  </si>
  <si>
    <t>May</t>
  </si>
  <si>
    <t>ORD-10236</t>
  </si>
  <si>
    <t>Monitor Stand</t>
  </si>
  <si>
    <t>Aug</t>
  </si>
  <si>
    <t>ORD-10404</t>
  </si>
  <si>
    <t>WiFi Router</t>
  </si>
  <si>
    <t>ORD-10340</t>
  </si>
  <si>
    <t>ORD-10315</t>
  </si>
  <si>
    <t>Feb</t>
  </si>
  <si>
    <t>ORD-10323</t>
  </si>
  <si>
    <t>ORD-10002</t>
  </si>
  <si>
    <t>Laptop Pro</t>
  </si>
  <si>
    <t>ORD-10333</t>
  </si>
  <si>
    <t>ORD-10174</t>
  </si>
  <si>
    <t>Mechanical Keyboard</t>
  </si>
  <si>
    <t>ORD-10464</t>
  </si>
  <si>
    <t>ORD-10061</t>
  </si>
  <si>
    <t>Antivirus Pro</t>
  </si>
  <si>
    <t>ORD-10099</t>
  </si>
  <si>
    <t>ORD-10252</t>
  </si>
  <si>
    <t>ORD-10204</t>
  </si>
  <si>
    <t>ORD-10054</t>
  </si>
  <si>
    <t>Screen Protector</t>
  </si>
  <si>
    <t>ORD-10368</t>
  </si>
  <si>
    <t>Ergonomic Chair</t>
  </si>
  <si>
    <t>ORD-10330</t>
  </si>
  <si>
    <t>ORD-10308</t>
  </si>
  <si>
    <t>Design Suite</t>
  </si>
  <si>
    <t>ORD-10401</t>
  </si>
  <si>
    <t>ORD-10161</t>
  </si>
  <si>
    <t>ORD-10362</t>
  </si>
  <si>
    <t>Jan</t>
  </si>
  <si>
    <t>ORD-10014</t>
  </si>
  <si>
    <t>ORD-10355</t>
  </si>
  <si>
    <t>USB-C Hub</t>
  </si>
  <si>
    <t>ORD-10208</t>
  </si>
  <si>
    <t>ORD-10263</t>
  </si>
  <si>
    <t>ORD-10184</t>
  </si>
  <si>
    <t>ORD-10266</t>
  </si>
  <si>
    <t>ORD-10339</t>
  </si>
  <si>
    <t>Laptop Bag</t>
  </si>
  <si>
    <t>ORD-10030</t>
  </si>
  <si>
    <t>Power Strip Pro</t>
  </si>
  <si>
    <t>ORD-10441</t>
  </si>
  <si>
    <t>ORD-10302</t>
  </si>
  <si>
    <t>ORD-10072</t>
  </si>
  <si>
    <t>ORD-10497</t>
  </si>
  <si>
    <t>ORD-10001</t>
  </si>
  <si>
    <t>ORD-10444</t>
  </si>
  <si>
    <t>ORD-10341</t>
  </si>
  <si>
    <t>ORD-10220</t>
  </si>
  <si>
    <t>CRM License</t>
  </si>
  <si>
    <t>ORD-10499</t>
  </si>
  <si>
    <t>ORD-10232</t>
  </si>
  <si>
    <t>ORD-10338</t>
  </si>
  <si>
    <t>ORD-10517</t>
  </si>
  <si>
    <t>Mouse Pad XL</t>
  </si>
  <si>
    <t>ORD-10443</t>
  </si>
  <si>
    <t>ORD-10245</t>
  </si>
  <si>
    <t>ORD-10463</t>
  </si>
  <si>
    <t>Network Switch</t>
  </si>
  <si>
    <t>ORD-10509</t>
  </si>
  <si>
    <t>ORD-10027</t>
  </si>
  <si>
    <t>ORD-10306</t>
  </si>
  <si>
    <t>ORD-10095</t>
  </si>
  <si>
    <t>ORD-10115</t>
  </si>
  <si>
    <t>ORD-10328</t>
  </si>
  <si>
    <t>ORD-10479</t>
  </si>
  <si>
    <t>ORD-10467</t>
  </si>
  <si>
    <t>ORD-10516</t>
  </si>
  <si>
    <t>ORD-10074</t>
  </si>
  <si>
    <t>ORD-10209</t>
  </si>
  <si>
    <t>ORD-10275</t>
  </si>
  <si>
    <t>ORD-10085</t>
  </si>
  <si>
    <t>ORD-10066</t>
  </si>
  <si>
    <t>ORD-10500</t>
  </si>
  <si>
    <t>ORD-10256</t>
  </si>
  <si>
    <t>ORD-10136</t>
  </si>
  <si>
    <t>ORD-10428</t>
  </si>
  <si>
    <t>ORD-10130</t>
  </si>
  <si>
    <t>ORD-10141</t>
  </si>
  <si>
    <t>ORD-10300</t>
  </si>
  <si>
    <t>ORD-10402</t>
  </si>
  <si>
    <t>ORD-10372</t>
  </si>
  <si>
    <t>ORD-10151</t>
  </si>
  <si>
    <t>ORD-10033</t>
  </si>
  <si>
    <t>ORD-10480</t>
  </si>
  <si>
    <t>ORD-10094</t>
  </si>
  <si>
    <t>ORD-10415</t>
  </si>
  <si>
    <t>ORD-10392</t>
  </si>
  <si>
    <t>ORD-10350</t>
  </si>
  <si>
    <t>ORD-10059</t>
  </si>
  <si>
    <t>ORD-10454</t>
  </si>
  <si>
    <t>ORD-10234</t>
  </si>
  <si>
    <t>ORD-10238</t>
  </si>
  <si>
    <t>ORD-10485</t>
  </si>
  <si>
    <t>ORD-10163</t>
  </si>
  <si>
    <t>ORD-10303</t>
  </si>
  <si>
    <t>ORD-10278</t>
  </si>
  <si>
    <t>ORD-10367</t>
  </si>
  <si>
    <t>ORD-10090</t>
  </si>
  <si>
    <t>ORD-10452</t>
  </si>
  <si>
    <t>ORD-10291</t>
  </si>
  <si>
    <t>ORD-10024</t>
  </si>
  <si>
    <t>ORD-10065</t>
  </si>
  <si>
    <t>ORD-10093</t>
  </si>
  <si>
    <t>ORD-10396</t>
  </si>
  <si>
    <t>ORD-10294</t>
  </si>
  <si>
    <t>ORD-10083</t>
  </si>
  <si>
    <t>ORD-10107</t>
  </si>
  <si>
    <t>ORD-10262</t>
  </si>
  <si>
    <t>ORD-10019</t>
  </si>
  <si>
    <t>ORD-10405</t>
  </si>
  <si>
    <t>ORD-10492</t>
  </si>
  <si>
    <t>ORD-10189</t>
  </si>
  <si>
    <t>ORD-10197</t>
  </si>
  <si>
    <t>ORD-10304</t>
  </si>
  <si>
    <t>ORD-10426</t>
  </si>
  <si>
    <t>ORD-10447</t>
  </si>
  <si>
    <t>ORD-10213</t>
  </si>
  <si>
    <t>ORD-10388</t>
  </si>
  <si>
    <t>ORD-10385</t>
  </si>
  <si>
    <t>ORD-10201</t>
  </si>
  <si>
    <t>ORD-10408</t>
  </si>
  <si>
    <t>ORD-10228</t>
  </si>
  <si>
    <t>ORD-10429</t>
  </si>
  <si>
    <t>ORD-10363</t>
  </si>
  <si>
    <t>ORD-10206</t>
  </si>
  <si>
    <t>ORD-10370</t>
  </si>
  <si>
    <t>ORD-10349</t>
  </si>
  <si>
    <t>ORD-10186</t>
  </si>
  <si>
    <t>ORD-10140</t>
  </si>
  <si>
    <t>ORD-10297</t>
  </si>
  <si>
    <t>ORD-10407</t>
  </si>
  <si>
    <t>ORD-10063</t>
  </si>
  <si>
    <t>ORD-10152</t>
  </si>
  <si>
    <t>ORD-10264</t>
  </si>
  <si>
    <t>ORD-10271</t>
  </si>
  <si>
    <t>ORD-10301</t>
  </si>
  <si>
    <t>ORD-10134</t>
  </si>
  <si>
    <t>ORD-10284</t>
  </si>
  <si>
    <t>ORD-10138</t>
  </si>
  <si>
    <t>ORD-10147</t>
  </si>
  <si>
    <t>ORD-10489</t>
  </si>
  <si>
    <t>ORD-10285</t>
  </si>
  <si>
    <t>ORD-10457</t>
  </si>
  <si>
    <t>ORD-10011</t>
  </si>
  <si>
    <t>ORD-10104</t>
  </si>
  <si>
    <t>ORD-10110</t>
  </si>
  <si>
    <t>ORD-10064</t>
  </si>
  <si>
    <t>ORD-10118</t>
  </si>
  <si>
    <t>ORD-10084</t>
  </si>
  <si>
    <t>ORD-10210</t>
  </si>
  <si>
    <t>ORD-10274</t>
  </si>
  <si>
    <t>ORD-10113</t>
  </si>
  <si>
    <t>ORD-10327</t>
  </si>
  <si>
    <t>ORD-10017</t>
  </si>
  <si>
    <t>ORD-10255</t>
  </si>
  <si>
    <t>ORD-10332</t>
  </si>
  <si>
    <t>ORD-10346</t>
  </si>
  <si>
    <t>ORD-10216</t>
  </si>
  <si>
    <t>ORD-10424</t>
  </si>
  <si>
    <t>ORD-10004</t>
  </si>
  <si>
    <t>ORD-10337</t>
  </si>
  <si>
    <t>ORD-10009</t>
  </si>
  <si>
    <t>ORD-10488</t>
  </si>
  <si>
    <t>ORD-10050</t>
  </si>
  <si>
    <t>ORD-10042</t>
  </si>
  <si>
    <t>ORD-10246</t>
  </si>
  <si>
    <t>ORD-10122</t>
  </si>
  <si>
    <t>ORD-10126</t>
  </si>
  <si>
    <t>ORD-10100</t>
  </si>
  <si>
    <t>ORD-10398</t>
  </si>
  <si>
    <t>ORD-10298</t>
  </si>
  <si>
    <t>ORD-10495</t>
  </si>
  <si>
    <t>ORD-10279</t>
  </si>
  <si>
    <t>ORD-10496</t>
  </si>
  <si>
    <t>ORD-10129</t>
  </si>
  <si>
    <t>ORD-10366</t>
  </si>
  <si>
    <t>ORD-10123</t>
  </si>
  <si>
    <t>ORD-10418</t>
  </si>
  <si>
    <t>ORD-10501</t>
  </si>
  <si>
    <t>ORD-10092</t>
  </si>
  <si>
    <t>ORD-10458</t>
  </si>
  <si>
    <t>ORD-10453</t>
  </si>
  <si>
    <t>ORD-10357</t>
  </si>
  <si>
    <t>ORD-10194</t>
  </si>
  <si>
    <t>ORD-10153</t>
  </si>
  <si>
    <t>ORD-10060</t>
  </si>
  <si>
    <t>ORD-10207</t>
  </si>
  <si>
    <t>ORD-10321</t>
  </si>
  <si>
    <t>ORD-10156</t>
  </si>
  <si>
    <t>ORD-10069</t>
  </si>
  <si>
    <t>ORD-10158</t>
  </si>
  <si>
    <t>ORD-10289</t>
  </si>
  <si>
    <t>ORD-10260</t>
  </si>
  <si>
    <t>ORD-10007</t>
  </si>
  <si>
    <t>ORD-10225</t>
  </si>
  <si>
    <t>ORD-10034</t>
  </si>
  <si>
    <t>ORD-10331</t>
  </si>
  <si>
    <t>ORD-10483</t>
  </si>
  <si>
    <t>ORD-10200</t>
  </si>
  <si>
    <t>ORD-10518</t>
  </si>
  <si>
    <t>ORD-10267</t>
  </si>
  <si>
    <t>ORD-10190</t>
  </si>
  <si>
    <t>ORD-10462</t>
  </si>
  <si>
    <t>ORD-10211</t>
  </si>
  <si>
    <t>ORD-10191</t>
  </si>
  <si>
    <t>ORD-10427</t>
  </si>
  <si>
    <t>ORD-10326</t>
  </si>
  <si>
    <t>ORD-10378</t>
  </si>
  <si>
    <t>ORD-10106</t>
  </si>
  <si>
    <t>ORD-10224</t>
  </si>
  <si>
    <t>ORD-10265</t>
  </si>
  <si>
    <t>ORD-10348</t>
  </si>
  <si>
    <t>ORD-10187</t>
  </si>
  <si>
    <t>ORD-10459</t>
  </si>
  <si>
    <t>ORD-10215</t>
  </si>
  <si>
    <t>ORD-10343</t>
  </si>
  <si>
    <t>ORD-10504</t>
  </si>
  <si>
    <t>ORD-10322</t>
  </si>
  <si>
    <t>ORD-10311</t>
  </si>
  <si>
    <t>ORD-10387</t>
  </si>
  <si>
    <t>ORD-10143</t>
  </si>
  <si>
    <t>ORD-10018</t>
  </si>
  <si>
    <t>ORD-10082</t>
  </si>
  <si>
    <t>ORD-10474</t>
  </si>
  <si>
    <t>ORD-10145</t>
  </si>
  <si>
    <t>ORD-10254</t>
  </si>
  <si>
    <t>ORD-10038</t>
  </si>
  <si>
    <t>ORD-10307</t>
  </si>
  <si>
    <t>ORD-10240</t>
  </si>
  <si>
    <t>ORD-10111</t>
  </si>
  <si>
    <t>ORD-10314</t>
  </si>
  <si>
    <t>ORD-10233</t>
  </si>
  <si>
    <t>ORD-10412</t>
  </si>
  <si>
    <t>ORD-10380</t>
  </si>
  <si>
    <t>ORD-10282</t>
  </si>
  <si>
    <t>ORD-10373</t>
  </si>
  <si>
    <t>ORD-10356</t>
  </si>
  <si>
    <t>ORD-10253</t>
  </si>
  <si>
    <t>ORD-10432</t>
  </si>
  <si>
    <t>ORD-10052</t>
  </si>
  <si>
    <t>ORD-10410</t>
  </si>
  <si>
    <t>ORD-10347</t>
  </si>
  <si>
    <t>ORD-10425</t>
  </si>
  <si>
    <t>ORD-10036</t>
  </si>
  <si>
    <t>ORD-10442</t>
  </si>
  <si>
    <t>ORD-10053</t>
  </si>
  <si>
    <t>ORD-10421</t>
  </si>
  <si>
    <t>ORD-10230</t>
  </si>
  <si>
    <t>ORD-10169</t>
  </si>
  <si>
    <t>ORD-10515</t>
  </si>
  <si>
    <t>ORD-10219</t>
  </si>
  <si>
    <t>ORD-10124</t>
  </si>
  <si>
    <t>ORD-10484</t>
  </si>
  <si>
    <t>ORD-10460</t>
  </si>
  <si>
    <t>ORD-10468</t>
  </si>
  <si>
    <t>ORD-10045</t>
  </si>
  <si>
    <t>ORD-10071</t>
  </si>
  <si>
    <t>ORD-10286</t>
  </si>
  <si>
    <t>ORD-10175</t>
  </si>
  <si>
    <t>ORD-10078</t>
  </si>
  <si>
    <t>ORD-10116</t>
  </si>
  <si>
    <t>ORD-10144</t>
  </si>
  <si>
    <t>ORD-10016</t>
  </si>
  <si>
    <t>ORD-10313</t>
  </si>
  <si>
    <t>ORD-10507</t>
  </si>
  <si>
    <t>ORD-10032</t>
  </si>
  <si>
    <t>ORD-10514</t>
  </si>
  <si>
    <t>ORD-10476</t>
  </si>
  <si>
    <t>ORD-10121</t>
  </si>
  <si>
    <t>ORD-10155</t>
  </si>
  <si>
    <t>ORD-10182</t>
  </si>
  <si>
    <t>ORD-10181</t>
  </si>
  <si>
    <t>ORD-10178</t>
  </si>
  <si>
    <t>ORD-10511</t>
  </si>
  <si>
    <t>ORD-10081</t>
  </si>
  <si>
    <t>ORD-10490</t>
  </si>
  <si>
    <t>ORD-10251</t>
  </si>
  <si>
    <t>ORD-10171</t>
  </si>
  <si>
    <t>ORD-10436</t>
  </si>
  <si>
    <t>ORD-10513</t>
  </si>
  <si>
    <t>ORD-10390</t>
  </si>
  <si>
    <t>ORD-10021</t>
  </si>
  <si>
    <t>ORD-10342</t>
  </si>
  <si>
    <t>ORD-10394</t>
  </si>
  <si>
    <t>ORD-10235</t>
  </si>
  <si>
    <t>ORD-10409</t>
  </si>
  <si>
    <t>ORD-10473</t>
  </si>
  <si>
    <t>ORD-10096</t>
  </si>
  <si>
    <t>ORD-10506</t>
  </si>
  <si>
    <t>ORD-10273</t>
  </si>
  <si>
    <t>ORD-10249</t>
  </si>
  <si>
    <t>ORD-10162</t>
  </si>
  <si>
    <t>ORD-10051</t>
  </si>
  <si>
    <t>ORD-10261</t>
  </si>
  <si>
    <t>ORD-10195</t>
  </si>
  <si>
    <t>ORD-10119</t>
  </si>
  <si>
    <t>ORD-10150</t>
  </si>
  <si>
    <t>ORD-10481</t>
  </si>
  <si>
    <t>ORD-10056</t>
  </si>
  <si>
    <t>ORD-10185</t>
  </si>
  <si>
    <t>ORD-10494</t>
  </si>
  <si>
    <t>ORD-10199</t>
  </si>
  <si>
    <t>ORD-10035</t>
  </si>
  <si>
    <t>ORD-10005</t>
  </si>
  <si>
    <t>ORD-10353</t>
  </si>
  <si>
    <t>ORD-10139</t>
  </si>
  <si>
    <t>ORD-10317</t>
  </si>
  <si>
    <t>ORD-10359</t>
  </si>
  <si>
    <t>ORD-10146</t>
  </si>
  <si>
    <t>ORD-10031</t>
  </si>
  <si>
    <t>ORD-10088</t>
  </si>
  <si>
    <t>ORD-10131</t>
  </si>
  <si>
    <t>ORD-10361</t>
  </si>
  <si>
    <t>ORD-10510</t>
  </si>
  <si>
    <t>ORD-10193</t>
  </si>
  <si>
    <t>ORD-10010</t>
  </si>
  <si>
    <t>ORD-10073</t>
  </si>
  <si>
    <t>ORD-10319</t>
  </si>
  <si>
    <t>ORD-10477</t>
  </si>
  <si>
    <t>ORD-10133</t>
  </si>
  <si>
    <t>ORD-10268</t>
  </si>
  <si>
    <t>ORD-10280</t>
  </si>
  <si>
    <t>ORD-10105</t>
  </si>
  <si>
    <t>ORD-10109</t>
  </si>
  <si>
    <t>ORD-10276</t>
  </si>
  <si>
    <t>ORD-10170</t>
  </si>
  <si>
    <t>ORD-10012</t>
  </si>
  <si>
    <t>ORD-10242</t>
  </si>
  <si>
    <t>ORD-10231</t>
  </si>
  <si>
    <t>ORD-10369</t>
  </si>
  <si>
    <t>ORD-10057</t>
  </si>
  <si>
    <t>ORD-10176</t>
  </si>
  <si>
    <t>ORD-10008</t>
  </si>
  <si>
    <t>ORD-10148</t>
  </si>
  <si>
    <t>ORD-10422</t>
  </si>
  <si>
    <t>ORD-10318</t>
  </si>
  <si>
    <t>ORD-10389</t>
  </si>
  <si>
    <t>ORD-10450</t>
  </si>
  <si>
    <t>ORD-10381</t>
  </si>
  <si>
    <t>ORD-10411</t>
  </si>
  <si>
    <t>ORD-10080</t>
  </si>
  <si>
    <t>ORD-10192</t>
  </si>
  <si>
    <t>ORD-10384</t>
  </si>
  <si>
    <t>ORD-10103</t>
  </si>
  <si>
    <t>ORD-10023</t>
  </si>
  <si>
    <t>ORD-10226</t>
  </si>
  <si>
    <t>ORD-10075</t>
  </si>
  <si>
    <t>ORD-10320</t>
  </si>
  <si>
    <t>ORD-10227</t>
  </si>
  <si>
    <t>ORD-10180</t>
  </si>
  <si>
    <t>ORD-10087</t>
  </si>
  <si>
    <t>ORD-10449</t>
  </si>
  <si>
    <t>ORD-10013</t>
  </si>
  <si>
    <t>ORD-10336</t>
  </si>
  <si>
    <t>ORD-10431</t>
  </si>
  <si>
    <t>ORD-10177</t>
  </si>
  <si>
    <t>ORD-10165</t>
  </si>
  <si>
    <t>ORD-10098</t>
  </si>
  <si>
    <t>ORD-10469</t>
  </si>
  <si>
    <t>ORD-10188</t>
  </si>
  <si>
    <t>ORD-10217</t>
  </si>
  <si>
    <t>ORD-10212</t>
  </si>
  <si>
    <t>ORD-10344</t>
  </si>
  <si>
    <t>ORD-10058</t>
  </si>
  <si>
    <t>ORD-10046</t>
  </si>
  <si>
    <t>ORD-10430</t>
  </si>
  <si>
    <t>ORD-10351</t>
  </si>
  <si>
    <t>ORD-10166</t>
  </si>
  <si>
    <t>ORD-10221</t>
  </si>
  <si>
    <t>ORD-10137</t>
  </si>
  <si>
    <t>ORD-10125</t>
  </si>
  <si>
    <t>ORD-10127</t>
  </si>
  <si>
    <t>ORD-10448</t>
  </si>
  <si>
    <t>ORD-10316</t>
  </si>
  <si>
    <t>ORD-10101</t>
  </si>
  <si>
    <t>ORD-10417</t>
  </si>
  <si>
    <t>ORD-10334</t>
  </si>
  <si>
    <t>ORD-10203</t>
  </si>
  <si>
    <t>ORD-10491</t>
  </si>
  <si>
    <t>ORD-10102</t>
  </si>
  <si>
    <t>ORD-10287</t>
  </si>
  <si>
    <t>ORD-10247</t>
  </si>
  <si>
    <t>ORD-10070</t>
  </si>
  <si>
    <t>ORD-10391</t>
  </si>
  <si>
    <t>ORD-10067</t>
  </si>
  <si>
    <t>ORD-10440</t>
  </si>
  <si>
    <t>ORD-10397</t>
  </si>
  <si>
    <t>ORD-10466</t>
  </si>
  <si>
    <t>ORD-10257</t>
  </si>
  <si>
    <t>ORD-10413</t>
  </si>
  <si>
    <t>ORD-10044</t>
  </si>
  <si>
    <t>ORD-10502</t>
  </si>
  <si>
    <t>ORD-10281</t>
  </si>
  <si>
    <t>ORD-10437</t>
  </si>
  <si>
    <t>ORD-10382</t>
  </si>
  <si>
    <t>ORD-10503</t>
  </si>
  <si>
    <t>ORD-10244</t>
  </si>
  <si>
    <t>ORD-10043</t>
  </si>
  <si>
    <t>ORD-10173</t>
  </si>
  <si>
    <t>ORD-10068</t>
  </si>
  <si>
    <t>ORD-10076</t>
  </si>
  <si>
    <t>ORD-10434</t>
  </si>
  <si>
    <t>ORD-10403</t>
  </si>
  <si>
    <t>ORD-10222</t>
  </si>
  <si>
    <t>ORD-10439</t>
  </si>
  <si>
    <t>ORD-10047</t>
  </si>
  <si>
    <t>ORD-10259</t>
  </si>
  <si>
    <t>ORD-10295</t>
  </si>
  <si>
    <t>ORD-10482</t>
  </si>
  <si>
    <t>ORD-10386</t>
  </si>
  <si>
    <t>ORD-10229</t>
  </si>
  <si>
    <t>ORD-10202</t>
  </si>
  <si>
    <t>ORD-10478</t>
  </si>
  <si>
    <t>ORD-10345</t>
  </si>
  <si>
    <t>ORD-10026</t>
  </si>
  <si>
    <t>ORD-10079</t>
  </si>
  <si>
    <t>ORD-10114</t>
  </si>
  <si>
    <t>ORD-10358</t>
  </si>
  <si>
    <t>ORD-10258</t>
  </si>
  <si>
    <t>ORD-10168</t>
  </si>
  <si>
    <t>ORD-10077</t>
  </si>
  <si>
    <t>ORD-10277</t>
  </si>
  <si>
    <t>ORD-10164</t>
  </si>
  <si>
    <t>ORD-10022</t>
  </si>
  <si>
    <t>ORD-10269</t>
  </si>
  <si>
    <t>ORD-10157</t>
  </si>
  <si>
    <t>ORD-10028</t>
  </si>
  <si>
    <t>ORD-10324</t>
  </si>
  <si>
    <t>ORD-10399</t>
  </si>
  <si>
    <t>ORD-10325</t>
  </si>
  <si>
    <t>ORD-10006</t>
  </si>
  <si>
    <t>ORD-10309</t>
  </si>
  <si>
    <t>ORD-10435</t>
  </si>
  <si>
    <t>ORD-10335</t>
  </si>
  <si>
    <t>ORD-10383</t>
  </si>
  <si>
    <t>ORD-10471</t>
  </si>
  <si>
    <t>ORD-10446</t>
  </si>
  <si>
    <t>ORD-10062</t>
  </si>
  <si>
    <t>ORD-10445</t>
  </si>
  <si>
    <t>ORD-10214</t>
  </si>
  <si>
    <t>ORD-10223</t>
  </si>
  <si>
    <t>ORD-10419</t>
  </si>
  <si>
    <t>ORD-10451</t>
  </si>
  <si>
    <t>ORD-10179</t>
  </si>
  <si>
    <t>ORD-10172</t>
  </si>
  <si>
    <t>ORD-10395</t>
  </si>
  <si>
    <t>ORD-10029</t>
  </si>
  <si>
    <t>ORD-10400</t>
  </si>
  <si>
    <t>ORD-10041</t>
  </si>
  <si>
    <t>ORD-10196</t>
  </si>
  <si>
    <t>ORD-10486</t>
  </si>
  <si>
    <t>ORD-10414</t>
  </si>
  <si>
    <t>ORD-10375</t>
  </si>
  <si>
    <t>ORD-10020</t>
  </si>
  <si>
    <t>ORD-10505</t>
  </si>
  <si>
    <t>ORD-10329</t>
  </si>
  <si>
    <t>ORD-10305</t>
  </si>
  <si>
    <t>ORD-10465</t>
  </si>
  <si>
    <t>ORD-10420</t>
  </si>
  <si>
    <t>ORD-10296</t>
  </si>
  <si>
    <t>ORD-10360</t>
  </si>
  <si>
    <t>ORD-10354</t>
  </si>
  <si>
    <t>ORD-10461</t>
  </si>
  <si>
    <t>ORD-10423</t>
  </si>
  <si>
    <t>ORD-10250</t>
  </si>
  <si>
    <t>ORD-10089</t>
  </si>
  <si>
    <t>ORD-10248</t>
  </si>
  <si>
    <t>ORD-10406</t>
  </si>
  <si>
    <t>ORD-10167</t>
  </si>
  <si>
    <t>ORD-10371</t>
  </si>
  <si>
    <t>ORD-10040</t>
  </si>
  <si>
    <t>ORD-10512</t>
  </si>
  <si>
    <t>ORD-10112</t>
  </si>
  <si>
    <t>ORD-10470</t>
  </si>
  <si>
    <t>ORD-10292</t>
  </si>
  <si>
    <t>ORD-10205</t>
  </si>
  <si>
    <t>ORD-10293</t>
  </si>
  <si>
    <t>ORD-10048</t>
  </si>
  <si>
    <t>ORD-10154</t>
  </si>
  <si>
    <t>ORD-10416</t>
  </si>
  <si>
    <t>ORD-10132</t>
  </si>
  <si>
    <t>ORD-10120</t>
  </si>
  <si>
    <t>ORD-10128</t>
  </si>
  <si>
    <t>ORD-10299</t>
  </si>
  <si>
    <t>ORD-10456</t>
  </si>
  <si>
    <t>ORD-10376</t>
  </si>
  <si>
    <t>ORD-10272</t>
  </si>
  <si>
    <t>ORD-10142</t>
  </si>
  <si>
    <t>ORD-10160</t>
  </si>
  <si>
    <t>ORD-10365</t>
  </si>
  <si>
    <t>ORD-10472</t>
  </si>
  <si>
    <t>ORD-10039</t>
  </si>
  <si>
    <t>ORD-10097</t>
  </si>
  <si>
    <t>ORD-10159</t>
  </si>
  <si>
    <t>Row Labels</t>
  </si>
  <si>
    <t>Grand Total</t>
  </si>
  <si>
    <t>Sum of Revenue</t>
  </si>
  <si>
    <t>Total Revenue</t>
  </si>
  <si>
    <t>Units Sold</t>
  </si>
  <si>
    <t>Avg Order Value</t>
  </si>
  <si>
    <t>Top Region</t>
  </si>
  <si>
    <t xml:space="preserve">Max Revenue </t>
  </si>
  <si>
    <t>Min Revenue</t>
  </si>
  <si>
    <t>Avg Revenue</t>
  </si>
  <si>
    <t>Sales Revenue Dashboard - Jan 2024 _ Dec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</si>
</sst>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quot;\ #,##0.00"/>
    <numFmt numFmtId="170" formatCode="_ [$₹-4009]\ * #,##0_ ;_ [$₹-4009]\ * \-#,##0_ ;_ [$₹-4009]\ * &quot;-&quot;??_ ;_ @_ "/>
    <numFmt numFmtId="173" formatCode="&quot;₹&quot;\ #,##0"/>
  </numFmts>
  <fonts count="3" x14ac:knownFonts="1">
    <font>
      <sz val="11"/>
      <color theme="1"/>
      <name val="Calibri"/>
      <family val="2"/>
      <scheme val="minor"/>
    </font>
    <font>
      <b/>
      <sz val="18"/>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1" xfId="0" applyBorder="1" applyAlignment="1">
      <alignment horizontal="center"/>
    </xf>
    <xf numFmtId="0" fontId="2" fillId="0" borderId="0" xfId="0" applyFont="1" applyAlignment="1">
      <alignment horizontal="center"/>
    </xf>
    <xf numFmtId="0" fontId="1" fillId="2" borderId="0" xfId="0" applyFont="1" applyFill="1" applyAlignment="1">
      <alignment horizontal="center"/>
    </xf>
    <xf numFmtId="14" fontId="0" fillId="0" borderId="0" xfId="0" applyNumberFormat="1" applyAlignment="1">
      <alignment horizontal="left"/>
    </xf>
    <xf numFmtId="170" fontId="0" fillId="0" borderId="0" xfId="0" applyNumberFormat="1"/>
    <xf numFmtId="173" fontId="0" fillId="0" borderId="0" xfId="0" applyNumberFormat="1"/>
    <xf numFmtId="173" fontId="2" fillId="0" borderId="0" xfId="0" applyNumberFormat="1" applyFont="1" applyAlignment="1">
      <alignment horizontal="center"/>
    </xf>
    <xf numFmtId="0" fontId="2" fillId="2" borderId="0" xfId="0" applyFont="1" applyFill="1" applyAlignment="1">
      <alignment horizontal="center"/>
    </xf>
  </cellXfs>
  <cellStyles count="1">
    <cellStyle name="Normal" xfId="0" builtinId="0"/>
  </cellStyles>
  <dxfs count="77">
    <dxf>
      <numFmt numFmtId="173" formatCode="&quot;₹&quot;\ #,##0"/>
    </dxf>
    <dxf>
      <numFmt numFmtId="172" formatCode="&quot;₹&quot;\ #,##0.0"/>
    </dxf>
    <dxf>
      <numFmt numFmtId="164" formatCode="&quot;₹&quot;\ #,##0.00"/>
    </dxf>
    <dxf>
      <font>
        <color rgb="FF9C6500"/>
      </font>
      <fill>
        <patternFill>
          <bgColor rgb="FFFFEB9C"/>
        </patternFill>
      </fill>
    </dxf>
    <dxf>
      <font>
        <color rgb="FF9C0006"/>
      </font>
      <fill>
        <patternFill>
          <bgColor rgb="FFFFC7CE"/>
        </patternFill>
      </fill>
    </dxf>
    <dxf>
      <font>
        <color rgb="FF9C0006"/>
      </font>
      <fill>
        <patternFill>
          <bgColor theme="7" tint="0.39994506668294322"/>
        </patternFill>
      </fill>
    </dxf>
    <dxf>
      <fill>
        <patternFill>
          <bgColor theme="9"/>
        </patternFill>
      </fill>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8" formatCode="_ [$₹-4009]\ * #,##0.00_ ;_ [$₹-4009]\ * \-#,##0.00_ ;_ [$₹-4009]\ * &quot;-&quot;??_ ;_ @_ "/>
    </dxf>
    <dxf>
      <numFmt numFmtId="168" formatCode="_ [$₹-4009]\ * #,##0.00_ ;_ [$₹-4009]\ * \-#,##0.00_ ;_ [$₹-4009]\ * &quot;-&quot;??_ ;_ @_ "/>
    </dxf>
    <dxf>
      <numFmt numFmtId="168" formatCode="_ [$₹-4009]\ * #,##0.00_ ;_ [$₹-4009]\ * \-#,##0.00_ ;_ [$₹-4009]\ * &quot;-&quot;??_ ;_ @_ "/>
    </dxf>
    <dxf>
      <numFmt numFmtId="168" formatCode="_ [$₹-4009]\ * #,##0.00_ ;_ [$₹-4009]\ * \-#,##0.00_ ;_ [$₹-4009]\ * &quot;-&quot;??_ ;_ @_ "/>
    </dxf>
    <dxf>
      <numFmt numFmtId="168" formatCode="_ [$₹-4009]\ * #,##0.00_ ;_ [$₹-4009]\ * \-#,##0.00_ ;_ [$₹-4009]\ * &quot;-&quot;??_ ;_ @_ "/>
    </dxf>
    <dxf>
      <numFmt numFmtId="168" formatCode="_ [$₹-4009]\ * #,##0.00_ ;_ [$₹-4009]\ * \-#,##0.00_ ;_ [$₹-4009]\ * &quot;-&quot;??_ ;_ @_ "/>
    </dxf>
    <dxf>
      <numFmt numFmtId="168" formatCode="_ [$₹-4009]\ * #,##0.00_ ;_ [$₹-4009]\ * \-#,##0.00_ ;_ [$₹-4009]\ * &quot;-&quot;??_ ;_ @_ "/>
    </dxf>
    <dxf>
      <numFmt numFmtId="168" formatCode="_ [$₹-4009]\ * #,##0.00_ ;_ [$₹-4009]\ * \-#,##0.00_ ;_ [$₹-4009]\ * &quot;-&quot;??_ ;_ @_ "/>
    </dxf>
    <dxf>
      <numFmt numFmtId="169" formatCode="_ [$₹-4009]\ * #,##0.0_ ;_ [$₹-4009]\ * \-#,##0.0_ ;_ [$₹-4009]\ * &quot;-&quot;??_ ;_ @_ "/>
    </dxf>
    <dxf>
      <numFmt numFmtId="169" formatCode="_ [$₹-4009]\ * #,##0.0_ ;_ [$₹-4009]\ * \-#,##0.0_ ;_ [$₹-4009]\ * &quot;-&quot;??_ ;_ @_ "/>
    </dxf>
    <dxf>
      <numFmt numFmtId="169" formatCode="_ [$₹-4009]\ * #,##0.0_ ;_ [$₹-4009]\ * \-#,##0.0_ ;_ [$₹-4009]\ * &quot;-&quot;??_ ;_ @_ "/>
    </dxf>
    <dxf>
      <numFmt numFmtId="169" formatCode="_ [$₹-4009]\ * #,##0.0_ ;_ [$₹-4009]\ * \-#,##0.0_ ;_ [$₹-4009]\ * &quot;-&quot;??_ ;_ @_ "/>
    </dxf>
    <dxf>
      <numFmt numFmtId="169" formatCode="_ [$₹-4009]\ * #,##0.0_ ;_ [$₹-4009]\ * \-#,##0.0_ ;_ [$₹-4009]\ * &quot;-&quot;??_ ;_ @_ "/>
    </dxf>
    <dxf>
      <numFmt numFmtId="169" formatCode="_ [$₹-4009]\ * #,##0.0_ ;_ [$₹-4009]\ * \-#,##0.0_ ;_ [$₹-4009]\ * &quot;-&quot;??_ ;_ @_ "/>
    </dxf>
    <dxf>
      <numFmt numFmtId="169" formatCode="_ [$₹-4009]\ * #,##0.0_ ;_ [$₹-4009]\ * \-#,##0.0_ ;_ [$₹-4009]\ * &quot;-&quot;??_ ;_ @_ "/>
    </dxf>
    <dxf>
      <numFmt numFmtId="169" formatCode="_ [$₹-4009]\ * #,##0.0_ ;_ [$₹-4009]\ * \-#,##0.0_ ;_ [$₹-4009]\ * &quot;-&quot;??_ ;_ @_ "/>
    </dxf>
    <dxf>
      <numFmt numFmtId="170" formatCode="_ [$₹-4009]\ * #,##0_ ;_ [$₹-4009]\ * \-#,##0_ ;_ [$₹-4009]\ * &quot;-&quot;??_ ;_ @_ "/>
    </dxf>
    <dxf>
      <numFmt numFmtId="170" formatCode="_ [$₹-4009]\ * #,##0_ ;_ [$₹-4009]\ * \-#,##0_ ;_ [$₹-4009]\ * &quot;-&quot;??_ ;_ @_ "/>
    </dxf>
    <dxf>
      <numFmt numFmtId="170" formatCode="_ [$₹-4009]\ * #,##0_ ;_ [$₹-4009]\ * \-#,##0_ ;_ [$₹-4009]\ * &quot;-&quot;??_ ;_ @_ "/>
    </dxf>
    <dxf>
      <numFmt numFmtId="170" formatCode="_ [$₹-4009]\ * #,##0_ ;_ [$₹-4009]\ * \-#,##0_ ;_ [$₹-4009]\ * &quot;-&quot;??_ ;_ @_ "/>
    </dxf>
    <dxf>
      <numFmt numFmtId="170" formatCode="_ [$₹-4009]\ * #,##0_ ;_ [$₹-4009]\ * \-#,##0_ ;_ [$₹-4009]\ * &quot;-&quot;??_ ;_ @_ "/>
    </dxf>
    <dxf>
      <numFmt numFmtId="170" formatCode="_ [$₹-4009]\ * #,##0_ ;_ [$₹-4009]\ * \-#,##0_ ;_ [$₹-4009]\ * &quot;-&quot;??_ ;_ @_ "/>
    </dxf>
    <dxf>
      <numFmt numFmtId="170" formatCode="_ [$₹-4009]\ * #,##0_ ;_ [$₹-4009]\ * \-#,##0_ ;_ [$₹-4009]\ * &quot;-&quot;??_ ;_ @_ "/>
    </dxf>
    <dxf>
      <numFmt numFmtId="170" formatCode="_ [$₹-4009]\ * #,##0_ ;_ [$₹-4009]\ * \-#,##0_ ;_ [$₹-4009]\ * &quot;-&quot;??_ ;_ @_ "/>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72" formatCode="&quot;₹&quot;\ #,##0.0"/>
    </dxf>
    <dxf>
      <numFmt numFmtId="172" formatCode="&quot;₹&quot;\ #,##0.0"/>
    </dxf>
    <dxf>
      <numFmt numFmtId="172" formatCode="&quot;₹&quot;\ #,##0.0"/>
    </dxf>
    <dxf>
      <numFmt numFmtId="172" formatCode="&quot;₹&quot;\ #,##0.0"/>
    </dxf>
    <dxf>
      <numFmt numFmtId="172" formatCode="&quot;₹&quot;\ #,##0.0"/>
    </dxf>
    <dxf>
      <numFmt numFmtId="172" formatCode="&quot;₹&quot;\ #,##0.0"/>
    </dxf>
    <dxf>
      <numFmt numFmtId="172" formatCode="&quot;₹&quot;\ #,##0.0"/>
    </dxf>
    <dxf>
      <numFmt numFmtId="172" formatCode="&quot;₹&quot;\ #,##0.0"/>
    </dxf>
    <dxf>
      <numFmt numFmtId="173" formatCode="&quot;₹&quot;\ #,##0"/>
    </dxf>
    <dxf>
      <numFmt numFmtId="173" formatCode="&quot;₹&quot;\ #,##0"/>
    </dxf>
    <dxf>
      <numFmt numFmtId="173" formatCode="&quot;₹&quot;\ #,##0"/>
    </dxf>
    <dxf>
      <numFmt numFmtId="173" formatCode="&quot;₹&quot;\ #,##0"/>
    </dxf>
    <dxf>
      <numFmt numFmtId="173" formatCode="&quot;₹&quot;\ #,##0"/>
    </dxf>
    <dxf>
      <numFmt numFmtId="173" formatCode="&quot;₹&quot;\ #,##0"/>
    </dxf>
    <dxf>
      <numFmt numFmtId="173" formatCode="&quot;₹&quot;\ #,##0"/>
    </dxf>
    <dxf>
      <numFmt numFmtId="173" formatCode="&quot;₹&quot;\ #,##0"/>
    </dxf>
    <dxf>
      <numFmt numFmtId="164" formatCode="&quot;₹&quot;\ #,##0.00"/>
    </dxf>
    <dxf>
      <numFmt numFmtId="172" formatCode="&quot;₹&quot;\ #,##0.0"/>
    </dxf>
    <dxf>
      <numFmt numFmtId="173" formatCode="&quot;₹&quot;\ #,##0"/>
    </dxf>
    <dxf>
      <numFmt numFmtId="168" formatCode="_ [$₹-4009]\ * #,##0.00_ ;_ [$₹-4009]\ * \-#,##0.00_ ;_ [$₹-4009]\ * &quot;-&quot;??_ ;_ @_ "/>
    </dxf>
    <dxf>
      <numFmt numFmtId="164" formatCode="&quot;₹&quot;\ #,##0.00"/>
    </dxf>
    <dxf>
      <numFmt numFmtId="172" formatCode="&quot;₹&quot;\ #,##0.0"/>
    </dxf>
    <dxf>
      <numFmt numFmtId="173" formatCode="&quot;₹&quot;\ #,##0"/>
    </dxf>
    <dxf>
      <numFmt numFmtId="165" formatCode="[$$-409]#,##0"/>
    </dxf>
    <dxf>
      <numFmt numFmtId="168" formatCode="_ [$₹-4009]\ * #,##0.00_ ;_ [$₹-4009]\ * \-#,##0.00_ ;_ [$₹-4009]\ * &quot;-&quot;??_ ;_ @_ "/>
    </dxf>
    <dxf>
      <numFmt numFmtId="169" formatCode="_ [$₹-4009]\ * #,##0.0_ ;_ [$₹-4009]\ * \-#,##0.0_ ;_ [$₹-4009]\ * &quot;-&quot;??_ ;_ @_ "/>
    </dxf>
    <dxf>
      <numFmt numFmtId="170" formatCode="_ [$₹-4009]\ * #,##0_ ;_ [$₹-4009]\ * \-#,##0_ ;_ [$₹-4009]\ * &quot;-&quot;??_ ;_ @_ "/>
    </dxf>
    <dxf>
      <numFmt numFmtId="164" formatCode="&quot;₹&quot;\ #,##0.00"/>
    </dxf>
    <dxf>
      <numFmt numFmtId="164" formatCode="&quot;₹&quot;\ #,##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[Sales_Assignment1.xlsx]Pivot 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has monthly Revenue trended in 2024?</a:t>
            </a:r>
          </a:p>
        </c:rich>
      </c:tx>
      <c:layout>
        <c:manualLayout>
          <c:xMode val="edge"/>
          <c:yMode val="edge"/>
          <c:x val="0.34999598819247513"/>
          <c:y val="2.4678561797555152E-2"/>
        </c:manualLayout>
      </c:layout>
      <c:overlay val="0"/>
      <c:spPr>
        <a:solidFill>
          <a:schemeClr val="accent4">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pPr>
            <a:solidFill>
              <a:schemeClr val="accent2"/>
            </a:solidFill>
            <a:ln w="9525">
              <a:solidFill>
                <a:schemeClr val="accent2"/>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37"/>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38"/>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39"/>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4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4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4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4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4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45"/>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4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47"/>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48"/>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49"/>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0"/>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1"/>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2"/>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3"/>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4"/>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5"/>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6"/>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7"/>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8"/>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
        <c:idx val="59"/>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Tables'!$B$3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_ [$₹-4009]\ * #,##0_ ;_ [$₹-4009]\ * \-#,##0_ ;_ [$₹-4009]\ * "-"??_ ;_ @_ </c:formatCode>
                <c:ptCount val="12"/>
                <c:pt idx="0">
                  <c:v>63948.41</c:v>
                </c:pt>
                <c:pt idx="1">
                  <c:v>55572.54</c:v>
                </c:pt>
                <c:pt idx="2">
                  <c:v>83376.609999999986</c:v>
                </c:pt>
                <c:pt idx="3">
                  <c:v>56569.34</c:v>
                </c:pt>
                <c:pt idx="4">
                  <c:v>47950.33</c:v>
                </c:pt>
                <c:pt idx="5">
                  <c:v>82073.200000000012</c:v>
                </c:pt>
                <c:pt idx="6">
                  <c:v>43565.39</c:v>
                </c:pt>
                <c:pt idx="7">
                  <c:v>76532.030000000013</c:v>
                </c:pt>
                <c:pt idx="8">
                  <c:v>48702.420000000013</c:v>
                </c:pt>
                <c:pt idx="9">
                  <c:v>81181.73000000001</c:v>
                </c:pt>
                <c:pt idx="10">
                  <c:v>102564.81</c:v>
                </c:pt>
                <c:pt idx="11">
                  <c:v>128725.60999999999</c:v>
                </c:pt>
              </c:numCache>
            </c:numRef>
          </c:val>
          <c:smooth val="0"/>
          <c:extLst>
            <c:ext xmlns:c16="http://schemas.microsoft.com/office/drawing/2014/chart" uri="{C3380CC4-5D6E-409C-BE32-E72D297353CC}">
              <c16:uniqueId val="{00000000-EC5D-4E50-B90F-B634DB05CE32}"/>
            </c:ext>
          </c:extLst>
        </c:ser>
        <c:dLbls>
          <c:showLegendKey val="0"/>
          <c:showVal val="0"/>
          <c:showCatName val="0"/>
          <c:showSerName val="0"/>
          <c:showPercent val="0"/>
          <c:showBubbleSize val="0"/>
        </c:dLbls>
        <c:marker val="1"/>
        <c:smooth val="0"/>
        <c:axId val="754201080"/>
        <c:axId val="754203048"/>
      </c:lineChart>
      <c:catAx>
        <c:axId val="754201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203048"/>
        <c:crosses val="autoZero"/>
        <c:auto val="1"/>
        <c:lblAlgn val="ctr"/>
        <c:lblOffset val="100"/>
        <c:noMultiLvlLbl val="0"/>
      </c:catAx>
      <c:valAx>
        <c:axId val="754203048"/>
        <c:scaling>
          <c:orientation val="minMax"/>
          <c:min val="500"/>
        </c:scaling>
        <c:delete val="0"/>
        <c:axPos val="l"/>
        <c:majorGridlines>
          <c:spPr>
            <a:ln w="9525" cap="flat" cmpd="sng" algn="ctr">
              <a:solidFill>
                <a:schemeClr val="tx1">
                  <a:lumMod val="15000"/>
                  <a:lumOff val="85000"/>
                </a:schemeClr>
              </a:solidFill>
              <a:round/>
            </a:ln>
            <a:effectLst/>
          </c:spPr>
        </c:majorGridlines>
        <c:numFmt formatCode="[$$-409]#,##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201080"/>
        <c:crosses val="autoZero"/>
        <c:crossBetween val="between"/>
      </c:valAx>
      <c:spPr>
        <a:noFill/>
        <a:ln>
          <a:noFill/>
        </a:ln>
        <a:effectLst/>
      </c:spPr>
    </c:plotArea>
    <c:legend>
      <c:legendPos val="l"/>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[Sales_Assignment1.xlsx]Pivot Tables!PivotTable3</c:name>
    <c:fmtId val="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a:solidFill>
                  <a:sysClr val="windowText" lastClr="000000"/>
                </a:solidFill>
                <a:latin typeface="+mn-lt"/>
                <a:ea typeface="+mn-ea"/>
                <a:cs typeface="+mn-cs"/>
              </a:rPr>
              <a:t>What are the Top 10 products?</a:t>
            </a:r>
            <a:endParaRPr lang="en-IN">
              <a:solidFill>
                <a:sysClr val="windowText" lastClr="000000"/>
              </a:solidFill>
            </a:endParaRPr>
          </a:p>
        </c:rich>
      </c:tx>
      <c:layout>
        <c:manualLayout>
          <c:xMode val="edge"/>
          <c:yMode val="edge"/>
          <c:x val="0.22658796732834521"/>
          <c:y val="3.2897107731592552E-2"/>
        </c:manualLayout>
      </c:layout>
      <c:overlay val="0"/>
      <c:spPr>
        <a:solidFill>
          <a:schemeClr val="accent4">
            <a:lumMod val="40000"/>
            <a:lumOff val="60000"/>
          </a:schemeClr>
        </a:solidFill>
        <a:ln w="12700" cap="flat" cmpd="sng" algn="ctr">
          <a:solidFill>
            <a:schemeClr val="accent4">
              <a:lumMod val="7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pivotFmt>
      <c:pivotFmt>
        <c:idx val="3"/>
        <c:spPr>
          <a:solidFill>
            <a:schemeClr val="accent4"/>
          </a:solidFill>
          <a:ln>
            <a:noFill/>
          </a:ln>
          <a:effectLst/>
        </c:spPr>
        <c:marker>
          <c:symbol val="none"/>
        </c:marker>
      </c:pivotFmt>
      <c:pivotFmt>
        <c:idx val="4"/>
        <c:spPr>
          <a:solidFill>
            <a:schemeClr val="accent4"/>
          </a:solidFill>
          <a:ln>
            <a:noFill/>
          </a:ln>
          <a:effectLst/>
        </c:spPr>
        <c:marker>
          <c:symbol val="none"/>
        </c:marker>
      </c:pivotFmt>
      <c:pivotFmt>
        <c:idx val="5"/>
        <c:spPr>
          <a:solidFill>
            <a:schemeClr val="accent4"/>
          </a:solidFill>
          <a:ln>
            <a:noFill/>
          </a:ln>
          <a:effectLst/>
        </c:spPr>
        <c:marker>
          <c:symbol val="none"/>
        </c:marker>
      </c:pivotFmt>
    </c:pivotFmts>
    <c:plotArea>
      <c:layout/>
      <c:barChart>
        <c:barDir val="bar"/>
        <c:grouping val="clustered"/>
        <c:varyColors val="0"/>
        <c:ser>
          <c:idx val="0"/>
          <c:order val="0"/>
          <c:tx>
            <c:strRef>
              <c:f>'Pivot Tables'!$B$38</c:f>
              <c:strCache>
                <c:ptCount val="1"/>
                <c:pt idx="0">
                  <c:v>Total</c:v>
                </c:pt>
              </c:strCache>
            </c:strRef>
          </c:tx>
          <c:spPr>
            <a:solidFill>
              <a:schemeClr val="accent4"/>
            </a:solidFill>
            <a:ln>
              <a:noFill/>
            </a:ln>
            <a:effectLst/>
          </c:spPr>
          <c:invertIfNegative val="0"/>
          <c:cat>
            <c:strRef>
              <c:f>'Pivot Tables'!$A$39:$A$49</c:f>
              <c:strCache>
                <c:ptCount val="10"/>
                <c:pt idx="0">
                  <c:v>CRM License</c:v>
                </c:pt>
                <c:pt idx="1">
                  <c:v>Design Suite</c:v>
                </c:pt>
                <c:pt idx="2">
                  <c:v>Ergonomic Chair</c:v>
                </c:pt>
                <c:pt idx="3">
                  <c:v>Laptop Pro</c:v>
                </c:pt>
                <c:pt idx="4">
                  <c:v>Network Switch</c:v>
                </c:pt>
                <c:pt idx="5">
                  <c:v>Project Mgmt Tool</c:v>
                </c:pt>
                <c:pt idx="6">
                  <c:v>Smart Watch</c:v>
                </c:pt>
                <c:pt idx="7">
                  <c:v>Standing Desk</c:v>
                </c:pt>
                <c:pt idx="8">
                  <c:v>VPN Device</c:v>
                </c:pt>
                <c:pt idx="9">
                  <c:v>WiFi Router</c:v>
                </c:pt>
              </c:strCache>
            </c:strRef>
          </c:cat>
          <c:val>
            <c:numRef>
              <c:f>'Pivot Tables'!$B$39:$B$49</c:f>
              <c:numCache>
                <c:formatCode>General</c:formatCode>
                <c:ptCount val="10"/>
                <c:pt idx="0">
                  <c:v>45874.37</c:v>
                </c:pt>
                <c:pt idx="1">
                  <c:v>47659.98000000001</c:v>
                </c:pt>
                <c:pt idx="2">
                  <c:v>68333.409999999989</c:v>
                </c:pt>
                <c:pt idx="3">
                  <c:v>183045.11</c:v>
                </c:pt>
                <c:pt idx="4">
                  <c:v>44342.140000000007</c:v>
                </c:pt>
                <c:pt idx="5">
                  <c:v>44279.97</c:v>
                </c:pt>
                <c:pt idx="6">
                  <c:v>37593.009999999995</c:v>
                </c:pt>
                <c:pt idx="7">
                  <c:v>121689.29999999999</c:v>
                </c:pt>
                <c:pt idx="8">
                  <c:v>53894.29</c:v>
                </c:pt>
                <c:pt idx="9">
                  <c:v>42534.02</c:v>
                </c:pt>
              </c:numCache>
            </c:numRef>
          </c:val>
          <c:extLst>
            <c:ext xmlns:c16="http://schemas.microsoft.com/office/drawing/2014/chart" uri="{C3380CC4-5D6E-409C-BE32-E72D297353CC}">
              <c16:uniqueId val="{00000000-6103-4BB3-9A26-F86A9002E6CB}"/>
            </c:ext>
          </c:extLst>
        </c:ser>
        <c:dLbls>
          <c:showLegendKey val="0"/>
          <c:showVal val="0"/>
          <c:showCatName val="0"/>
          <c:showSerName val="0"/>
          <c:showPercent val="0"/>
          <c:showBubbleSize val="0"/>
        </c:dLbls>
        <c:gapWidth val="182"/>
        <c:axId val="943504176"/>
        <c:axId val="943504832"/>
      </c:barChart>
      <c:catAx>
        <c:axId val="94350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504832"/>
        <c:crosses val="autoZero"/>
        <c:auto val="1"/>
        <c:lblAlgn val="ctr"/>
        <c:lblOffset val="100"/>
        <c:noMultiLvlLbl val="0"/>
      </c:catAx>
      <c:valAx>
        <c:axId val="943504832"/>
        <c:scaling>
          <c:orientation val="minMax"/>
          <c:min val="1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5041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[Sales_Assignment1.xlsx]Pivot Tables!PivotTable5</c:name>
    <c:fmtId val="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solidFill>
                  <a:schemeClr val="dk1"/>
                </a:solidFill>
                <a:latin typeface="+mn-lt"/>
                <a:ea typeface="+mn-ea"/>
                <a:cs typeface="+mn-cs"/>
              </a:rPr>
              <a:t>What</a:t>
            </a:r>
            <a:r>
              <a:rPr lang="en-US" baseline="0">
                <a:solidFill>
                  <a:schemeClr val="dk1"/>
                </a:solidFill>
                <a:latin typeface="+mn-lt"/>
                <a:ea typeface="+mn-ea"/>
                <a:cs typeface="+mn-cs"/>
              </a:rPr>
              <a:t> is the % share by each region?</a:t>
            </a:r>
            <a:endParaRPr lang="en-US"/>
          </a:p>
        </c:rich>
      </c:tx>
      <c:layout/>
      <c:overlay val="0"/>
      <c:spPr>
        <a:solidFill>
          <a:schemeClr val="accent4">
            <a:lumMod val="20000"/>
            <a:lumOff val="80000"/>
          </a:schemeClr>
        </a:solidFill>
        <a:ln w="12700" cap="flat" cmpd="sng" algn="ctr">
          <a:solidFill>
            <a:schemeClr val="accent4"/>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8"/>
        <c:spPr>
          <a:solidFill>
            <a:schemeClr val="accent4">
              <a:shade val="53000"/>
            </a:schemeClr>
          </a:solidFill>
          <a:ln w="19050">
            <a:solidFill>
              <a:schemeClr val="lt1"/>
            </a:solidFill>
          </a:ln>
          <a:effectLst/>
        </c:spPr>
      </c:pivotFmt>
      <c:pivotFmt>
        <c:idx val="9"/>
        <c:spPr>
          <a:solidFill>
            <a:schemeClr val="accent4">
              <a:shade val="76000"/>
            </a:schemeClr>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tint val="77000"/>
            </a:schemeClr>
          </a:solidFill>
          <a:ln w="19050">
            <a:solidFill>
              <a:schemeClr val="lt1"/>
            </a:solidFill>
          </a:ln>
          <a:effectLst/>
        </c:spPr>
      </c:pivotFmt>
      <c:pivotFmt>
        <c:idx val="12"/>
        <c:spPr>
          <a:solidFill>
            <a:schemeClr val="accent4">
              <a:tint val="54000"/>
            </a:schemeClr>
          </a:solidFill>
          <a:ln w="19050">
            <a:solidFill>
              <a:schemeClr val="lt1"/>
            </a:solidFill>
          </a:ln>
          <a:effectLst/>
        </c:spPr>
      </c:pivotFmt>
    </c:pivotFmts>
    <c:plotArea>
      <c:layout/>
      <c:doughnutChart>
        <c:varyColors val="1"/>
        <c:ser>
          <c:idx val="0"/>
          <c:order val="0"/>
          <c:tx>
            <c:strRef>
              <c:f>'Pivot Tables'!$B$69</c:f>
              <c:strCache>
                <c:ptCount val="1"/>
                <c:pt idx="0">
                  <c:v>Total</c:v>
                </c:pt>
              </c:strCache>
            </c:strRef>
          </c:tx>
          <c:dPt>
            <c:idx val="0"/>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1-AD90-4677-8E33-7B21E9C7B485}"/>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AD90-4677-8E33-7B21E9C7B485}"/>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AD90-4677-8E33-7B21E9C7B485}"/>
              </c:ext>
            </c:extLst>
          </c:dPt>
          <c:dPt>
            <c:idx val="3"/>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AD90-4677-8E33-7B21E9C7B485}"/>
              </c:ext>
            </c:extLst>
          </c:dPt>
          <c:dPt>
            <c:idx val="4"/>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9-AD90-4677-8E33-7B21E9C7B4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Tables'!$A$70:$A$75</c:f>
              <c:strCache>
                <c:ptCount val="5"/>
                <c:pt idx="0">
                  <c:v>Central</c:v>
                </c:pt>
                <c:pt idx="1">
                  <c:v>East</c:v>
                </c:pt>
                <c:pt idx="2">
                  <c:v>North</c:v>
                </c:pt>
                <c:pt idx="3">
                  <c:v>South</c:v>
                </c:pt>
                <c:pt idx="4">
                  <c:v>West</c:v>
                </c:pt>
              </c:strCache>
            </c:strRef>
          </c:cat>
          <c:val>
            <c:numRef>
              <c:f>'Pivot Tables'!$B$70:$B$75</c:f>
              <c:numCache>
                <c:formatCode>"₹"\ #,##0</c:formatCode>
                <c:ptCount val="5"/>
                <c:pt idx="0">
                  <c:v>163254.18999999992</c:v>
                </c:pt>
                <c:pt idx="1">
                  <c:v>171212.62</c:v>
                </c:pt>
                <c:pt idx="2">
                  <c:v>194640.9800000001</c:v>
                </c:pt>
                <c:pt idx="3">
                  <c:v>143218.65000000005</c:v>
                </c:pt>
                <c:pt idx="4">
                  <c:v>198435.98000000004</c:v>
                </c:pt>
              </c:numCache>
            </c:numRef>
          </c:val>
          <c:extLst>
            <c:ext xmlns:c16="http://schemas.microsoft.com/office/drawing/2014/chart" uri="{C3380CC4-5D6E-409C-BE32-E72D297353CC}">
              <c16:uniqueId val="{0000000A-AD90-4677-8E33-7B21E9C7B48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[Sales_Assignment1.xlsx]Pivot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200" b="0">
                <a:solidFill>
                  <a:schemeClr val="dk1"/>
                </a:solidFill>
                <a:latin typeface="+mn-lt"/>
                <a:ea typeface="+mn-ea"/>
                <a:cs typeface="+mn-cs"/>
              </a:rPr>
              <a:t>Contribution as per Category</a:t>
            </a:r>
            <a:endParaRPr lang="en-US" sz="1200" b="0">
              <a:solidFill>
                <a:sysClr val="windowText" lastClr="000000"/>
              </a:solidFill>
            </a:endParaRPr>
          </a:p>
        </c:rich>
      </c:tx>
      <c:layout/>
      <c:overlay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pivotFmt>
      <c:pivotFmt>
        <c:idx val="1"/>
      </c:pivotFmt>
      <c:pivotFmt>
        <c:idx val="2"/>
        <c:spPr>
          <a:solidFill>
            <a:schemeClr val="accent4"/>
          </a:solidFill>
          <a:ln>
            <a:noFill/>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pivotFmt>
    </c:pivotFmts>
    <c:plotArea>
      <c:layout/>
      <c:barChart>
        <c:barDir val="col"/>
        <c:grouping val="clustered"/>
        <c:varyColors val="0"/>
        <c:ser>
          <c:idx val="0"/>
          <c:order val="0"/>
          <c:tx>
            <c:strRef>
              <c:f>'Pivot Tables'!$B$19</c:f>
              <c:strCache>
                <c:ptCount val="1"/>
                <c:pt idx="0">
                  <c:v>Total</c:v>
                </c:pt>
              </c:strCache>
            </c:strRef>
          </c:tx>
          <c:spPr>
            <a:solidFill>
              <a:schemeClr val="accent4"/>
            </a:solidFill>
            <a:ln>
              <a:noFill/>
            </a:ln>
            <a:effectLst/>
          </c:spPr>
          <c:invertIfNegative val="0"/>
          <c:cat>
            <c:strRef>
              <c:f>'Pivot Tables'!$A$20:$A$25</c:f>
              <c:strCache>
                <c:ptCount val="5"/>
                <c:pt idx="0">
                  <c:v>Accessories</c:v>
                </c:pt>
                <c:pt idx="1">
                  <c:v>Electronics</c:v>
                </c:pt>
                <c:pt idx="2">
                  <c:v>Networking</c:v>
                </c:pt>
                <c:pt idx="3">
                  <c:v>Office Supplies</c:v>
                </c:pt>
                <c:pt idx="4">
                  <c:v>Software</c:v>
                </c:pt>
              </c:strCache>
            </c:strRef>
          </c:cat>
          <c:val>
            <c:numRef>
              <c:f>'Pivot Tables'!$B$20:$B$25</c:f>
              <c:numCache>
                <c:formatCode>"₹"\ #,##0</c:formatCode>
                <c:ptCount val="5"/>
                <c:pt idx="0">
                  <c:v>29690.329999999998</c:v>
                </c:pt>
                <c:pt idx="1">
                  <c:v>286551.4599999999</c:v>
                </c:pt>
                <c:pt idx="2">
                  <c:v>153880.21000000002</c:v>
                </c:pt>
                <c:pt idx="3">
                  <c:v>229639.63000000009</c:v>
                </c:pt>
                <c:pt idx="4">
                  <c:v>171000.79000000007</c:v>
                </c:pt>
              </c:numCache>
            </c:numRef>
          </c:val>
          <c:extLst>
            <c:ext xmlns:c16="http://schemas.microsoft.com/office/drawing/2014/chart" uri="{C3380CC4-5D6E-409C-BE32-E72D297353CC}">
              <c16:uniqueId val="{00000000-4114-4C8B-9169-0F64296B29F8}"/>
            </c:ext>
          </c:extLst>
        </c:ser>
        <c:dLbls>
          <c:showLegendKey val="0"/>
          <c:showVal val="0"/>
          <c:showCatName val="0"/>
          <c:showSerName val="0"/>
          <c:showPercent val="0"/>
          <c:showBubbleSize val="0"/>
        </c:dLbls>
        <c:gapWidth val="219"/>
        <c:overlap val="-27"/>
        <c:axId val="430304120"/>
        <c:axId val="430306416"/>
      </c:barChart>
      <c:catAx>
        <c:axId val="430304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306416"/>
        <c:crosses val="autoZero"/>
        <c:auto val="1"/>
        <c:lblAlgn val="ctr"/>
        <c:lblOffset val="100"/>
        <c:noMultiLvlLbl val="0"/>
      </c:catAx>
      <c:valAx>
        <c:axId val="430306416"/>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304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[Sales_Assignment1.xlsx]Pivot Tables!PivotTable6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Quaterly Contribution</a:t>
            </a:r>
          </a:p>
        </c:rich>
      </c:tx>
      <c:layout/>
      <c:overlay val="0"/>
      <c:spPr>
        <a:solidFill>
          <a:schemeClr val="accent4">
            <a:lumMod val="60000"/>
            <a:lumOff val="40000"/>
          </a:schemeClr>
        </a:solidFill>
        <a:ln>
          <a:solidFill>
            <a:schemeClr val="accent4">
              <a:lumMod val="75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4">
              <a:tint val="58000"/>
            </a:schemeClr>
          </a:solidFill>
          <a:ln w="19050">
            <a:solidFill>
              <a:schemeClr val="lt1"/>
            </a:solidFill>
          </a:ln>
          <a:effectLst/>
        </c:spPr>
        <c:dLbl>
          <c:idx val="0"/>
          <c:layout>
            <c:manualLayout>
              <c:x val="-9.7421203438395443E-2"/>
              <c:y val="-3.62976406533575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4">
              <a:tint val="86000"/>
            </a:schemeClr>
          </a:solidFill>
          <a:ln w="19050">
            <a:solidFill>
              <a:schemeClr val="lt1"/>
            </a:solidFill>
          </a:ln>
          <a:effectLst/>
        </c:spPr>
        <c:dLbl>
          <c:idx val="0"/>
          <c:layout>
            <c:manualLayout>
              <c:x val="-0.12034383954154733"/>
              <c:y val="7.9854809437386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4">
              <a:shade val="86000"/>
            </a:schemeClr>
          </a:solidFill>
          <a:ln w="19050">
            <a:solidFill>
              <a:schemeClr val="lt1"/>
            </a:solidFill>
          </a:ln>
          <a:effectLst/>
        </c:spPr>
        <c:dLbl>
          <c:idx val="0"/>
          <c:layout>
            <c:manualLayout>
              <c:x val="0.12607449856733513"/>
              <c:y val="6.53357531760434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4">
              <a:shade val="58000"/>
            </a:schemeClr>
          </a:solidFill>
          <a:ln w="19050">
            <a:solidFill>
              <a:schemeClr val="lt1"/>
            </a:solidFill>
          </a:ln>
          <a:effectLst/>
        </c:spPr>
        <c:dLbl>
          <c:idx val="0"/>
          <c:layout>
            <c:manualLayout>
              <c:x val="0.10888252148997135"/>
              <c:y val="-9.4373865698729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4">
              <a:shade val="58000"/>
            </a:schemeClr>
          </a:solidFill>
          <a:ln w="19050">
            <a:solidFill>
              <a:schemeClr val="lt1"/>
            </a:solidFill>
          </a:ln>
          <a:effectLst/>
        </c:spPr>
        <c:dLbl>
          <c:idx val="0"/>
          <c:layout>
            <c:manualLayout>
              <c:x val="0.10888252148997135"/>
              <c:y val="-9.43738656987295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8"/>
        <c:spPr>
          <a:solidFill>
            <a:schemeClr val="accent4">
              <a:shade val="86000"/>
            </a:schemeClr>
          </a:solidFill>
          <a:ln w="19050">
            <a:solidFill>
              <a:schemeClr val="lt1"/>
            </a:solidFill>
          </a:ln>
          <a:effectLst/>
        </c:spPr>
        <c:dLbl>
          <c:idx val="0"/>
          <c:layout>
            <c:manualLayout>
              <c:x val="0.12607449856733513"/>
              <c:y val="6.53357531760434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9"/>
        <c:spPr>
          <a:solidFill>
            <a:schemeClr val="accent4">
              <a:tint val="86000"/>
            </a:schemeClr>
          </a:solidFill>
          <a:ln w="19050">
            <a:solidFill>
              <a:schemeClr val="lt1"/>
            </a:solidFill>
          </a:ln>
          <a:effectLst/>
        </c:spPr>
        <c:dLbl>
          <c:idx val="0"/>
          <c:layout>
            <c:manualLayout>
              <c:x val="-0.12034383954154733"/>
              <c:y val="7.9854809437386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0"/>
        <c:spPr>
          <a:solidFill>
            <a:schemeClr val="accent4">
              <a:tint val="58000"/>
            </a:schemeClr>
          </a:solidFill>
          <a:ln w="19050">
            <a:solidFill>
              <a:schemeClr val="lt1"/>
            </a:solidFill>
          </a:ln>
          <a:effectLst/>
        </c:spPr>
        <c:dLbl>
          <c:idx val="0"/>
          <c:layout>
            <c:manualLayout>
              <c:x val="-9.7421203438395443E-2"/>
              <c:y val="-3.62976406533575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1"/>
        <c:spPr>
          <a:solidFill>
            <a:schemeClr val="accent4"/>
          </a:solidFill>
          <a:ln w="19050">
            <a:solidFill>
              <a:schemeClr val="lt1"/>
            </a:solidFill>
          </a:ln>
          <a:effectLst/>
        </c:spPr>
        <c:marker>
          <c:symbol val="none"/>
        </c:marker>
      </c:pivotFmt>
      <c:pivotFmt>
        <c:idx val="12"/>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ext>
          </c:extLst>
        </c:dLbl>
      </c:pivotFmt>
      <c:pivotFmt>
        <c:idx val="13"/>
        <c:spPr>
          <a:solidFill>
            <a:schemeClr val="accent4">
              <a:tint val="58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s>
    <c:plotArea>
      <c:layout>
        <c:manualLayout>
          <c:layoutTarget val="inner"/>
          <c:xMode val="edge"/>
          <c:yMode val="edge"/>
          <c:x val="0.17410280095748601"/>
          <c:y val="0.20408839712672458"/>
          <c:w val="0.65179439808502793"/>
          <c:h val="0.75519443320046376"/>
        </c:manualLayout>
      </c:layout>
      <c:pieChart>
        <c:varyColors val="1"/>
        <c:ser>
          <c:idx val="0"/>
          <c:order val="0"/>
          <c:tx>
            <c:strRef>
              <c:f>'Pivot Tables'!$B$78</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8A2E-4DAC-AFE9-304132600CE2}"/>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8A2E-4DAC-AFE9-304132600CE2}"/>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8A2E-4DAC-AFE9-304132600CE2}"/>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8A2E-4DAC-AFE9-304132600C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Tables'!$A$79:$A$83</c:f>
              <c:strCache>
                <c:ptCount val="4"/>
                <c:pt idx="0">
                  <c:v>1</c:v>
                </c:pt>
                <c:pt idx="1">
                  <c:v>2</c:v>
                </c:pt>
                <c:pt idx="2">
                  <c:v>3</c:v>
                </c:pt>
                <c:pt idx="3">
                  <c:v>4</c:v>
                </c:pt>
              </c:strCache>
            </c:strRef>
          </c:cat>
          <c:val>
            <c:numRef>
              <c:f>'Pivot Tables'!$B$79:$B$83</c:f>
              <c:numCache>
                <c:formatCode>"₹"\ #,##0</c:formatCode>
                <c:ptCount val="4"/>
                <c:pt idx="0">
                  <c:v>202897.56000000003</c:v>
                </c:pt>
                <c:pt idx="1">
                  <c:v>186592.86999999994</c:v>
                </c:pt>
                <c:pt idx="2">
                  <c:v>168799.84</c:v>
                </c:pt>
                <c:pt idx="3">
                  <c:v>312472.15000000002</c:v>
                </c:pt>
              </c:numCache>
            </c:numRef>
          </c:val>
          <c:extLst>
            <c:ext xmlns:c16="http://schemas.microsoft.com/office/drawing/2014/chart" uri="{C3380CC4-5D6E-409C-BE32-E72D297353CC}">
              <c16:uniqueId val="{00000008-8A2E-4DAC-AFE9-304132600CE2}"/>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272143</xdr:colOff>
      <xdr:row>21</xdr:row>
      <xdr:rowOff>59419</xdr:rowOff>
    </xdr:from>
    <xdr:to>
      <xdr:col>8</xdr:col>
      <xdr:colOff>226786</xdr:colOff>
      <xdr:row>37</xdr:row>
      <xdr:rowOff>145144</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269421</xdr:colOff>
      <xdr:row>2</xdr:row>
      <xdr:rowOff>90714</xdr:rowOff>
    </xdr:from>
    <xdr:to>
      <xdr:col>8</xdr:col>
      <xdr:colOff>199572</xdr:colOff>
      <xdr:row>20</xdr:row>
      <xdr:rowOff>54429</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362857</xdr:colOff>
      <xdr:row>5</xdr:row>
      <xdr:rowOff>36666</xdr:rowOff>
    </xdr:from>
    <xdr:to>
      <xdr:col>16</xdr:col>
      <xdr:colOff>500442</xdr:colOff>
      <xdr:row>20</xdr:row>
      <xdr:rowOff>45357</xdr:rowOff>
    </xdr:to>
    <xdr:graphicFrame macro="">
      <xdr:nvGraphicFramePr>
        <xdr:cNvPr id="4"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574898</xdr:colOff>
      <xdr:row>5</xdr:row>
      <xdr:rowOff>49888</xdr:rowOff>
    </xdr:from>
    <xdr:to>
      <xdr:col>22</xdr:col>
      <xdr:colOff>544284</xdr:colOff>
      <xdr:row>12</xdr:row>
      <xdr:rowOff>162071</xdr:rowOff>
    </xdr:to>
    <mc:AlternateContent xmlns:mc="http://schemas.openxmlformats.org/markup-compatibility/2006">
      <mc:Choice xmlns:tsle="http://schemas.microsoft.com/office/drawing/2012/timeslicer" Requires="tsle">
        <xdr:graphicFrame macro="">
          <xdr:nvGraphicFramePr>
            <xdr:cNvPr id="5" name="Date"/>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3147898" y="1065888"/>
              <a:ext cx="4488469"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16</xdr:col>
      <xdr:colOff>656544</xdr:colOff>
      <xdr:row>14</xdr:row>
      <xdr:rowOff>29481</xdr:rowOff>
    </xdr:from>
    <xdr:to>
      <xdr:col>20</xdr:col>
      <xdr:colOff>226785</xdr:colOff>
      <xdr:row>24</xdr:row>
      <xdr:rowOff>11339</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229544" y="2664731"/>
              <a:ext cx="2120824" cy="1781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786848</xdr:colOff>
      <xdr:row>24</xdr:row>
      <xdr:rowOff>127002</xdr:rowOff>
    </xdr:from>
    <xdr:to>
      <xdr:col>22</xdr:col>
      <xdr:colOff>579782</xdr:colOff>
      <xdr:row>33</xdr:row>
      <xdr:rowOff>27215</xdr:rowOff>
    </xdr:to>
    <mc:AlternateContent xmlns:mc="http://schemas.openxmlformats.org/markup-compatibility/2006">
      <mc:Choice xmlns:a14="http://schemas.microsoft.com/office/drawing/2010/main" Requires="a14">
        <xdr:graphicFrame macro="">
          <xdr:nvGraphicFramePr>
            <xdr:cNvPr id="7" name="Quarte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5910431" y="4561419"/>
              <a:ext cx="1761434" cy="1519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381000</xdr:colOff>
      <xdr:row>21</xdr:row>
      <xdr:rowOff>85724</xdr:rowOff>
    </xdr:from>
    <xdr:to>
      <xdr:col>16</xdr:col>
      <xdr:colOff>517070</xdr:colOff>
      <xdr:row>37</xdr:row>
      <xdr:rowOff>136070</xdr:rowOff>
    </xdr:to>
    <xdr:graphicFrame macro="">
      <xdr:nvGraphicFramePr>
        <xdr:cNvPr id="8"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408216</xdr:colOff>
      <xdr:row>13</xdr:row>
      <xdr:rowOff>172357</xdr:rowOff>
    </xdr:from>
    <xdr:to>
      <xdr:col>22</xdr:col>
      <xdr:colOff>571502</xdr:colOff>
      <xdr:row>23</xdr:row>
      <xdr:rowOff>172356</xdr:rowOff>
    </xdr:to>
    <mc:AlternateContent xmlns:mc="http://schemas.openxmlformats.org/markup-compatibility/2006">
      <mc:Choice xmlns:a14="http://schemas.microsoft.com/office/drawing/2010/main" Requires="a14">
        <xdr:graphicFrame macro="">
          <xdr:nvGraphicFramePr>
            <xdr:cNvPr id="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531799" y="2627690"/>
              <a:ext cx="2131786" cy="17991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547006</xdr:colOff>
      <xdr:row>24</xdr:row>
      <xdr:rowOff>97518</xdr:rowOff>
    </xdr:from>
    <xdr:to>
      <xdr:col>20</xdr:col>
      <xdr:colOff>698499</xdr:colOff>
      <xdr:row>37</xdr:row>
      <xdr:rowOff>90714</xdr:rowOff>
    </xdr:to>
    <xdr:graphicFrame macro="">
      <xdr:nvGraphicFramePr>
        <xdr:cNvPr id="10"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155.877514467589" createdVersion="6" refreshedVersion="6" minRefreshableVersion="3" recordCount="496">
  <cacheSource type="worksheet">
    <worksheetSource name="SalesData"/>
  </cacheSource>
  <cacheFields count="11">
    <cacheField name="Order ID" numFmtId="0">
      <sharedItems/>
    </cacheField>
    <cacheField name="Date" numFmtId="14">
      <sharedItems containsSemiMixedTypes="0" containsNonDate="0" containsDate="1" containsString="0" minDate="2024-01-01T00:00:00" maxDate="2025-01-01T00:00:00" count="266">
        <d v="2024-06-24T00:00:00"/>
        <d v="2024-12-21T00:00:00"/>
        <d v="2024-03-10T00:00:00"/>
        <d v="2024-10-06T00:00:00"/>
        <d v="2024-10-20T00:00:00"/>
        <d v="2024-06-15T00:00:00"/>
        <d v="2024-03-05T00:00:00"/>
        <d v="2024-09-23T00:00:00"/>
        <d v="2024-11-07T00:00:00"/>
        <d v="2024-06-08T00:00:00"/>
        <d v="2024-10-24T00:00:00"/>
        <d v="2024-12-13T00:00:00"/>
        <d v="2024-06-30T00:00:00"/>
        <d v="2024-10-26T00:00:00"/>
        <d v="2024-04-17T00:00:00"/>
        <d v="2024-07-18T00:00:00"/>
        <d v="2024-05-21T00:00:00"/>
        <d v="2024-08-28T00:00:00"/>
        <d v="2024-09-12T00:00:00"/>
        <d v="2024-09-02T00:00:00"/>
        <d v="2024-02-08T00:00:00"/>
        <d v="2024-08-24T00:00:00"/>
        <d v="2024-10-29T00:00:00"/>
        <d v="2024-10-27T00:00:00"/>
        <d v="2024-05-07T00:00:00"/>
        <d v="2024-04-21T00:00:00"/>
        <d v="2024-03-15T00:00:00"/>
        <d v="2024-02-16T00:00:00"/>
        <d v="2024-06-26T00:00:00"/>
        <d v="2024-03-18T00:00:00"/>
        <d v="2024-12-04T00:00:00"/>
        <d v="2024-12-23T00:00:00"/>
        <d v="2024-08-02T00:00:00"/>
        <d v="2024-04-23T00:00:00"/>
        <d v="2024-01-15T00:00:00"/>
        <d v="2024-05-14T00:00:00"/>
        <d v="2024-12-14T00:00:00"/>
        <d v="2024-01-20T00:00:00"/>
        <d v="2024-07-03T00:00:00"/>
        <d v="2024-11-24T00:00:00"/>
        <d v="2024-09-04T00:00:00"/>
        <d v="2024-01-25T00:00:00"/>
        <d v="2024-01-05T00:00:00"/>
        <d v="2024-11-14T00:00:00"/>
        <d v="2024-11-23T00:00:00"/>
        <d v="2024-01-04T00:00:00"/>
        <d v="2024-02-07T00:00:00"/>
        <d v="2024-01-12T00:00:00"/>
        <d v="2024-07-09T00:00:00"/>
        <d v="2024-11-27T00:00:00"/>
        <d v="2024-12-28T00:00:00"/>
        <d v="2024-04-02T00:00:00"/>
        <d v="2024-09-21T00:00:00"/>
        <d v="2024-08-10T00:00:00"/>
        <d v="2024-11-02T00:00:00"/>
        <d v="2024-11-22T00:00:00"/>
        <d v="2024-09-28T00:00:00"/>
        <d v="2024-03-21T00:00:00"/>
        <d v="2024-02-21T00:00:00"/>
        <d v="2024-03-17T00:00:00"/>
        <d v="2024-09-19T00:00:00"/>
        <d v="2024-10-12T00:00:00"/>
        <d v="2024-09-08T00:00:00"/>
        <d v="2024-05-28T00:00:00"/>
        <d v="2024-11-26T00:00:00"/>
        <d v="2024-03-23T00:00:00"/>
        <d v="2024-10-21T00:00:00"/>
        <d v="2024-06-01T00:00:00"/>
        <d v="2024-01-16T00:00:00"/>
        <d v="2024-11-17T00:00:00"/>
        <d v="2024-12-30T00:00:00"/>
        <d v="2024-07-28T00:00:00"/>
        <d v="2024-09-26T00:00:00"/>
        <d v="2024-09-06T00:00:00"/>
        <d v="2024-07-14T00:00:00"/>
        <d v="2024-07-12T00:00:00"/>
        <d v="2024-11-08T00:00:00"/>
        <d v="2024-08-17T00:00:00"/>
        <d v="2024-05-22T00:00:00"/>
        <d v="2024-12-22T00:00:00"/>
        <d v="2024-04-18T00:00:00"/>
        <d v="2024-12-16T00:00:00"/>
        <d v="2024-05-29T00:00:00"/>
        <d v="2024-10-10T00:00:00"/>
        <d v="2024-12-02T00:00:00"/>
        <d v="2024-03-27T00:00:00"/>
        <d v="2024-08-29T00:00:00"/>
        <d v="2024-12-03T00:00:00"/>
        <d v="2024-01-08T00:00:00"/>
        <d v="2024-07-04T00:00:00"/>
        <d v="2024-04-06T00:00:00"/>
        <d v="2024-03-25T00:00:00"/>
        <d v="2024-12-11T00:00:00"/>
        <d v="2024-10-28T00:00:00"/>
        <d v="2024-03-31T00:00:00"/>
        <d v="2024-07-06T00:00:00"/>
        <d v="2024-08-27T00:00:00"/>
        <d v="2024-08-30T00:00:00"/>
        <d v="2024-05-12T00:00:00"/>
        <d v="2024-09-14T00:00:00"/>
        <d v="2024-01-29T00:00:00"/>
        <d v="2024-05-13T00:00:00"/>
        <d v="2024-01-21T00:00:00"/>
        <d v="2024-09-24T00:00:00"/>
        <d v="2024-12-12T00:00:00"/>
        <d v="2024-12-10T00:00:00"/>
        <d v="2024-02-13T00:00:00"/>
        <d v="2024-11-29T00:00:00"/>
        <d v="2024-06-02T00:00:00"/>
        <d v="2024-06-23T00:00:00"/>
        <d v="2024-05-02T00:00:00"/>
        <d v="2024-10-30T00:00:00"/>
        <d v="2024-02-02T00:00:00"/>
        <d v="2024-09-18T00:00:00"/>
        <d v="2024-03-11T00:00:00"/>
        <d v="2024-06-22T00:00:00"/>
        <d v="2024-08-14T00:00:00"/>
        <d v="2024-02-17T00:00:00"/>
        <d v="2024-10-16T00:00:00"/>
        <d v="2024-10-25T00:00:00"/>
        <d v="2024-11-06T00:00:00"/>
        <d v="2024-06-14T00:00:00"/>
        <d v="2024-09-25T00:00:00"/>
        <d v="2024-03-13T00:00:00"/>
        <d v="2024-12-19T00:00:00"/>
        <d v="2024-05-18T00:00:00"/>
        <d v="2024-03-12T00:00:00"/>
        <d v="2024-06-18T00:00:00"/>
        <d v="2024-10-05T00:00:00"/>
        <d v="2024-07-10T00:00:00"/>
        <d v="2024-05-08T00:00:00"/>
        <d v="2024-02-23T00:00:00"/>
        <d v="2024-02-12T00:00:00"/>
        <d v="2024-02-24T00:00:00"/>
        <d v="2024-10-22T00:00:00"/>
        <d v="2024-08-04T00:00:00"/>
        <d v="2024-12-15T00:00:00"/>
        <d v="2024-11-30T00:00:00"/>
        <d v="2024-06-11T00:00:00"/>
        <d v="2024-10-04T00:00:00"/>
        <d v="2024-09-29T00:00:00"/>
        <d v="2024-06-07T00:00:00"/>
        <d v="2024-10-09T00:00:00"/>
        <d v="2024-09-07T00:00:00"/>
        <d v="2024-10-11T00:00:00"/>
        <d v="2024-01-23T00:00:00"/>
        <d v="2024-05-03T00:00:00"/>
        <d v="2024-02-20T00:00:00"/>
        <d v="2024-03-08T00:00:00"/>
        <d v="2024-08-20T00:00:00"/>
        <d v="2024-02-27T00:00:00"/>
        <d v="2024-09-09T00:00:00"/>
        <d v="2024-04-16T00:00:00"/>
        <d v="2024-10-08T00:00:00"/>
        <d v="2024-04-15T00:00:00"/>
        <d v="2024-01-30T00:00:00"/>
        <d v="2024-04-05T00:00:00"/>
        <d v="2024-08-08T00:00:00"/>
        <d v="2024-11-18T00:00:00"/>
        <d v="2024-05-31T00:00:00"/>
        <d v="2024-08-25T00:00:00"/>
        <d v="2024-10-14T00:00:00"/>
        <d v="2024-04-27T00:00:00"/>
        <d v="2024-11-10T00:00:00"/>
        <d v="2024-10-03T00:00:00"/>
        <d v="2024-12-31T00:00:00"/>
        <d v="2024-12-08T00:00:00"/>
        <d v="2024-06-04T00:00:00"/>
        <d v="2024-04-28T00:00:00"/>
        <d v="2024-04-09T00:00:00"/>
        <d v="2024-06-21T00:00:00"/>
        <d v="2024-12-01T00:00:00"/>
        <d v="2024-10-07T00:00:00"/>
        <d v="2024-04-12T00:00:00"/>
        <d v="2024-05-17T00:00:00"/>
        <d v="2024-06-06T00:00:00"/>
        <d v="2024-05-20T00:00:00"/>
        <d v="2024-11-16T00:00:00"/>
        <d v="2024-08-01T00:00:00"/>
        <d v="2024-06-09T00:00:00"/>
        <d v="2024-01-27T00:00:00"/>
        <d v="2024-08-22T00:00:00"/>
        <d v="2024-08-16T00:00:00"/>
        <d v="2024-10-19T00:00:00"/>
        <d v="2024-08-12T00:00:00"/>
        <d v="2024-08-15T00:00:00"/>
        <d v="2024-02-10T00:00:00"/>
        <d v="2024-09-22T00:00:00"/>
        <d v="2024-02-19T00:00:00"/>
        <d v="2024-05-06T00:00:00"/>
        <d v="2024-02-28T00:00:00"/>
        <d v="2024-06-13T00:00:00"/>
        <d v="2024-11-13T00:00:00"/>
        <d v="2024-07-20T00:00:00"/>
        <d v="2024-09-05T00:00:00"/>
        <d v="2024-06-03T00:00:00"/>
        <d v="2024-08-23T00:00:00"/>
        <d v="2024-03-16T00:00:00"/>
        <d v="2024-10-18T00:00:00"/>
        <d v="2024-05-05T00:00:00"/>
        <d v="2024-10-17T00:00:00"/>
        <d v="2024-10-02T00:00:00"/>
        <d v="2024-12-29T00:00:00"/>
        <d v="2024-01-17T00:00:00"/>
        <d v="2024-08-06T00:00:00"/>
        <d v="2024-05-26T00:00:00"/>
        <d v="2024-03-14T00:00:00"/>
        <d v="2024-07-26T00:00:00"/>
        <d v="2024-02-14T00:00:00"/>
        <d v="2024-03-28T00:00:00"/>
        <d v="2024-03-26T00:00:00"/>
        <d v="2024-05-15T00:00:00"/>
        <d v="2024-12-05T00:00:00"/>
        <d v="2024-03-04T00:00:00"/>
        <d v="2024-07-02T00:00:00"/>
        <d v="2024-12-24T00:00:00"/>
        <d v="2024-04-03T00:00:00"/>
        <d v="2024-09-01T00:00:00"/>
        <d v="2024-08-19T00:00:00"/>
        <d v="2024-06-25T00:00:00"/>
        <d v="2024-01-06T00:00:00"/>
        <d v="2024-01-01T00:00:00"/>
        <d v="2024-11-11T00:00:00"/>
        <d v="2024-02-11T00:00:00"/>
        <d v="2024-01-28T00:00:00"/>
        <d v="2024-08-07T00:00:00"/>
        <d v="2024-05-09T00:00:00"/>
        <d v="2024-02-05T00:00:00"/>
        <d v="2024-03-07T00:00:00"/>
        <d v="2024-02-25T00:00:00"/>
        <d v="2024-08-26T00:00:00"/>
        <d v="2024-11-21T00:00:00"/>
        <d v="2024-05-25T00:00:00"/>
        <d v="2024-04-30T00:00:00"/>
        <d v="2024-01-19T00:00:00"/>
        <d v="2024-01-11T00:00:00"/>
        <d v="2024-12-07T00:00:00"/>
        <d v="2024-12-09T00:00:00"/>
        <d v="2024-03-03T00:00:00"/>
        <d v="2024-05-27T00:00:00"/>
        <d v="2024-12-17T00:00:00"/>
        <d v="2024-04-07T00:00:00"/>
        <d v="2024-11-04T00:00:00"/>
        <d v="2024-07-16T00:00:00"/>
        <d v="2024-08-18T00:00:00"/>
        <d v="2024-03-22T00:00:00"/>
        <d v="2024-01-14T00:00:00"/>
        <d v="2024-04-19T00:00:00"/>
        <d v="2024-07-29T00:00:00"/>
        <d v="2024-12-26T00:00:00"/>
        <d v="2024-12-20T00:00:00"/>
        <d v="2024-03-01T00:00:00"/>
        <d v="2024-11-12T00:00:00"/>
        <d v="2024-04-14T00:00:00"/>
        <d v="2024-01-09T00:00:00"/>
        <d v="2024-05-04T00:00:00"/>
        <d v="2024-07-08T00:00:00"/>
        <d v="2024-04-26T00:00:00"/>
        <d v="2024-04-25T00:00:00"/>
        <d v="2024-06-28T00:00:00"/>
        <d v="2024-07-15T00:00:00"/>
        <d v="2024-04-11T00:00:00"/>
        <d v="2024-03-20T00:00:00"/>
        <d v="2024-02-15T00:00:00"/>
        <d v="2024-02-26T00:00:00"/>
        <d v="2024-11-15T00:00:00"/>
      </sharedItems>
      <fieldGroup base="1">
        <rangePr groupBy="months" startDate="2024-01-01T00:00:00" endDate="2025-01-01T00:00:00"/>
        <groupItems count="14">
          <s v="&lt;01-01-2024"/>
          <s v="Jan"/>
          <s v="Feb"/>
          <s v="Mar"/>
          <s v="Apr"/>
          <s v="May"/>
          <s v="Jun"/>
          <s v="Jul"/>
          <s v="Aug"/>
          <s v="Sep"/>
          <s v="Oct"/>
          <s v="Nov"/>
          <s v="Dec"/>
          <s v="&gt;01-01-2025"/>
        </groupItems>
      </fieldGroup>
    </cacheField>
    <cacheField name="Region" numFmtId="0">
      <sharedItems count="5">
        <s v="West"/>
        <s v="Central"/>
        <s v="East"/>
        <s v="South"/>
        <s v="North"/>
      </sharedItems>
    </cacheField>
    <cacheField name="Category" numFmtId="0">
      <sharedItems count="5">
        <s v="Networking"/>
        <s v="Office Supplies"/>
        <s v="Electronics"/>
        <s v="Software"/>
        <s v="Accessories"/>
      </sharedItems>
    </cacheField>
    <cacheField name="Product" numFmtId="0">
      <sharedItems count="26">
        <s v="VPN Device"/>
        <s v="Whiteboard"/>
        <s v="Smart Watch"/>
        <s v="Desk Organizer"/>
        <s v="Standing Desk"/>
        <s v="Wireless Earbuds"/>
        <s v="Ethernet Cable"/>
        <s v="Project Mgmt Tool"/>
        <s v="Webcam HD"/>
        <s v="Phone Case"/>
        <s v="Cable Kit"/>
        <s v="Cloud Backup"/>
        <s v="Monitor Stand"/>
        <s v="WiFi Router"/>
        <s v="Laptop Pro"/>
        <s v="Mechanical Keyboard"/>
        <s v="Antivirus Pro"/>
        <s v="Screen Protector"/>
        <s v="Ergonomic Chair"/>
        <s v="Design Suite"/>
        <s v="USB-C Hub"/>
        <s v="Laptop Bag"/>
        <s v="Power Strip Pro"/>
        <s v="CRM License"/>
        <s v="Mouse Pad XL"/>
        <s v="Network Switch"/>
      </sharedItems>
    </cacheField>
    <cacheField name="Quantity" numFmtId="0">
      <sharedItems containsSemiMixedTypes="0" containsString="0" containsNumber="1" containsInteger="1" minValue="1" maxValue="20"/>
    </cacheField>
    <cacheField name="Unit Price" numFmtId="0">
      <sharedItems containsSemiMixedTypes="0" containsString="0" containsNumber="1" minValue="14.29" maxValue="1316.01"/>
    </cacheField>
    <cacheField name="Revenue" numFmtId="0">
      <sharedItems containsSemiMixedTypes="0" containsString="0" containsNumber="1" minValue="15.64" maxValue="25656.199999999997"/>
    </cacheField>
    <cacheField name="Month" numFmtId="0">
      <sharedItems count="12">
        <s v="Jun"/>
        <s v="Dec"/>
        <s v="Mar"/>
        <s v="Oct"/>
        <s v="Sep"/>
        <s v="Nov"/>
        <s v="Apr"/>
        <s v="Jul"/>
        <s v="May"/>
        <s v="Aug"/>
        <s v="Feb"/>
        <s v="Jan"/>
      </sharedItems>
    </cacheField>
    <cacheField name="Year" numFmtId="0">
      <sharedItems/>
    </cacheField>
    <cacheField name="Quarter" numFmtId="0">
      <sharedItems containsSemiMixedTypes="0" containsString="0" containsNumber="1" containsInteger="1" minValue="1" maxValue="4" count="4">
        <n v="2"/>
        <n v="4"/>
        <n v="1"/>
        <n v="3"/>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96">
  <r>
    <s v="ORD-10374"/>
    <x v="0"/>
    <x v="0"/>
    <x v="0"/>
    <x v="0"/>
    <n v="5"/>
    <n v="138.65"/>
    <n v="693.25"/>
    <x v="0"/>
    <s v="2024"/>
    <x v="0"/>
  </r>
  <r>
    <s v="ORD-10433"/>
    <x v="1"/>
    <x v="1"/>
    <x v="1"/>
    <x v="1"/>
    <n v="19"/>
    <n v="89.42"/>
    <n v="1698.98"/>
    <x v="1"/>
    <s v="2024"/>
    <x v="1"/>
  </r>
  <r>
    <s v="ORD-10520"/>
    <x v="2"/>
    <x v="2"/>
    <x v="2"/>
    <x v="2"/>
    <n v="8"/>
    <n v="244.57"/>
    <n v="1956.56"/>
    <x v="2"/>
    <s v="2024"/>
    <x v="2"/>
  </r>
  <r>
    <s v="ORD-10003"/>
    <x v="3"/>
    <x v="0"/>
    <x v="1"/>
    <x v="3"/>
    <n v="19"/>
    <n v="28.76"/>
    <n v="546.44000000000005"/>
    <x v="3"/>
    <s v="2024"/>
    <x v="1"/>
  </r>
  <r>
    <s v="ORD-10218"/>
    <x v="4"/>
    <x v="1"/>
    <x v="1"/>
    <x v="4"/>
    <n v="11"/>
    <n v="591.91999999999996"/>
    <n v="6511.12"/>
    <x v="3"/>
    <s v="2024"/>
    <x v="1"/>
  </r>
  <r>
    <s v="ORD-10352"/>
    <x v="5"/>
    <x v="2"/>
    <x v="0"/>
    <x v="0"/>
    <n v="1"/>
    <n v="148.44999999999999"/>
    <n v="148.44999999999999"/>
    <x v="0"/>
    <s v="2024"/>
    <x v="0"/>
  </r>
  <r>
    <s v="ORD-10498"/>
    <x v="6"/>
    <x v="0"/>
    <x v="2"/>
    <x v="5"/>
    <n v="3"/>
    <n v="86.56"/>
    <n v="259.68"/>
    <x v="2"/>
    <s v="2024"/>
    <x v="2"/>
  </r>
  <r>
    <s v="ORD-10379"/>
    <x v="7"/>
    <x v="1"/>
    <x v="0"/>
    <x v="6"/>
    <n v="14"/>
    <n v="19.5"/>
    <n v="273"/>
    <x v="4"/>
    <s v="2024"/>
    <x v="3"/>
  </r>
  <r>
    <s v="ORD-10364"/>
    <x v="8"/>
    <x v="2"/>
    <x v="3"/>
    <x v="7"/>
    <n v="13"/>
    <n v="160.58000000000001"/>
    <n v="2087.54"/>
    <x v="5"/>
    <s v="2024"/>
    <x v="1"/>
  </r>
  <r>
    <s v="ORD-10310"/>
    <x v="9"/>
    <x v="2"/>
    <x v="2"/>
    <x v="8"/>
    <n v="15"/>
    <n v="75.14"/>
    <n v="1127.0999999999999"/>
    <x v="0"/>
    <s v="2024"/>
    <x v="0"/>
  </r>
  <r>
    <s v="ORD-10183"/>
    <x v="10"/>
    <x v="3"/>
    <x v="1"/>
    <x v="1"/>
    <n v="20"/>
    <n v="89.06"/>
    <n v="1781.2"/>
    <x v="3"/>
    <s v="2024"/>
    <x v="1"/>
  </r>
  <r>
    <s v="ORD-10283"/>
    <x v="11"/>
    <x v="4"/>
    <x v="1"/>
    <x v="3"/>
    <n v="2"/>
    <n v="31.87"/>
    <n v="63.74"/>
    <x v="1"/>
    <s v="2024"/>
    <x v="1"/>
  </r>
  <r>
    <s v="ORD-10243"/>
    <x v="12"/>
    <x v="2"/>
    <x v="4"/>
    <x v="9"/>
    <n v="12"/>
    <n v="20.78"/>
    <n v="249.36"/>
    <x v="0"/>
    <s v="2024"/>
    <x v="0"/>
  </r>
  <r>
    <s v="ORD-10237"/>
    <x v="13"/>
    <x v="1"/>
    <x v="4"/>
    <x v="10"/>
    <n v="5"/>
    <n v="24.49"/>
    <n v="122.44999999999999"/>
    <x v="3"/>
    <s v="2024"/>
    <x v="1"/>
  </r>
  <r>
    <s v="ORD-10487"/>
    <x v="14"/>
    <x v="3"/>
    <x v="4"/>
    <x v="9"/>
    <n v="4"/>
    <n v="18.23"/>
    <n v="72.92"/>
    <x v="6"/>
    <s v="2024"/>
    <x v="0"/>
  </r>
  <r>
    <s v="ORD-10025"/>
    <x v="15"/>
    <x v="2"/>
    <x v="4"/>
    <x v="10"/>
    <n v="14"/>
    <n v="26.36"/>
    <n v="369.03999999999996"/>
    <x v="7"/>
    <s v="2024"/>
    <x v="3"/>
  </r>
  <r>
    <s v="ORD-10091"/>
    <x v="16"/>
    <x v="0"/>
    <x v="3"/>
    <x v="11"/>
    <n v="9"/>
    <n v="106.24"/>
    <n v="956.16"/>
    <x v="8"/>
    <s v="2024"/>
    <x v="0"/>
  </r>
  <r>
    <s v="ORD-10236"/>
    <x v="17"/>
    <x v="2"/>
    <x v="1"/>
    <x v="12"/>
    <n v="11"/>
    <n v="69.83"/>
    <n v="768.13"/>
    <x v="9"/>
    <s v="2024"/>
    <x v="3"/>
  </r>
  <r>
    <s v="ORD-10404"/>
    <x v="18"/>
    <x v="4"/>
    <x v="0"/>
    <x v="13"/>
    <n v="18"/>
    <n v="195.16"/>
    <n v="3512.88"/>
    <x v="4"/>
    <s v="2024"/>
    <x v="3"/>
  </r>
  <r>
    <s v="ORD-10340"/>
    <x v="19"/>
    <x v="1"/>
    <x v="1"/>
    <x v="4"/>
    <n v="15"/>
    <n v="527.62"/>
    <n v="7914.3"/>
    <x v="4"/>
    <s v="2024"/>
    <x v="3"/>
  </r>
  <r>
    <s v="ORD-10315"/>
    <x v="20"/>
    <x v="1"/>
    <x v="0"/>
    <x v="13"/>
    <n v="14"/>
    <n v="187.84"/>
    <n v="2629.76"/>
    <x v="10"/>
    <s v="2024"/>
    <x v="2"/>
  </r>
  <r>
    <s v="ORD-10323"/>
    <x v="21"/>
    <x v="4"/>
    <x v="1"/>
    <x v="1"/>
    <n v="14"/>
    <n v="95.52"/>
    <n v="1337.28"/>
    <x v="9"/>
    <s v="2024"/>
    <x v="3"/>
  </r>
  <r>
    <s v="ORD-10002"/>
    <x v="22"/>
    <x v="0"/>
    <x v="2"/>
    <x v="14"/>
    <n v="3"/>
    <n v="1178.3699999999999"/>
    <n v="3535.1099999999997"/>
    <x v="3"/>
    <s v="2024"/>
    <x v="1"/>
  </r>
  <r>
    <s v="ORD-10333"/>
    <x v="23"/>
    <x v="3"/>
    <x v="2"/>
    <x v="8"/>
    <n v="12"/>
    <n v="86.43"/>
    <n v="1037.1600000000001"/>
    <x v="3"/>
    <s v="2024"/>
    <x v="1"/>
  </r>
  <r>
    <s v="ORD-10174"/>
    <x v="24"/>
    <x v="4"/>
    <x v="2"/>
    <x v="15"/>
    <n v="6"/>
    <n v="132.21"/>
    <n v="793.26"/>
    <x v="8"/>
    <s v="2024"/>
    <x v="0"/>
  </r>
  <r>
    <s v="ORD-10464"/>
    <x v="16"/>
    <x v="0"/>
    <x v="3"/>
    <x v="7"/>
    <n v="13"/>
    <n v="154.65"/>
    <n v="2010.45"/>
    <x v="8"/>
    <s v="2024"/>
    <x v="0"/>
  </r>
  <r>
    <s v="ORD-10061"/>
    <x v="25"/>
    <x v="0"/>
    <x v="3"/>
    <x v="16"/>
    <n v="6"/>
    <n v="61.41"/>
    <n v="368.46"/>
    <x v="6"/>
    <s v="2024"/>
    <x v="0"/>
  </r>
  <r>
    <s v="ORD-10099"/>
    <x v="26"/>
    <x v="3"/>
    <x v="0"/>
    <x v="0"/>
    <n v="19"/>
    <n v="146.27000000000001"/>
    <n v="2779.13"/>
    <x v="2"/>
    <s v="2024"/>
    <x v="2"/>
  </r>
  <r>
    <s v="ORD-10252"/>
    <x v="27"/>
    <x v="4"/>
    <x v="3"/>
    <x v="7"/>
    <n v="12"/>
    <n v="158.57"/>
    <n v="1902.84"/>
    <x v="10"/>
    <s v="2024"/>
    <x v="2"/>
  </r>
  <r>
    <s v="ORD-10204"/>
    <x v="28"/>
    <x v="0"/>
    <x v="3"/>
    <x v="7"/>
    <n v="7"/>
    <n v="146.07"/>
    <n v="1022.49"/>
    <x v="0"/>
    <s v="2024"/>
    <x v="0"/>
  </r>
  <r>
    <s v="ORD-10054"/>
    <x v="29"/>
    <x v="3"/>
    <x v="4"/>
    <x v="17"/>
    <n v="7"/>
    <n v="14.39"/>
    <n v="100.73"/>
    <x v="2"/>
    <s v="2024"/>
    <x v="2"/>
  </r>
  <r>
    <s v="ORD-10368"/>
    <x v="30"/>
    <x v="2"/>
    <x v="1"/>
    <x v="18"/>
    <n v="16"/>
    <n v="438.75"/>
    <n v="7020"/>
    <x v="1"/>
    <s v="2024"/>
    <x v="1"/>
  </r>
  <r>
    <s v="ORD-10330"/>
    <x v="31"/>
    <x v="2"/>
    <x v="0"/>
    <x v="13"/>
    <n v="12"/>
    <n v="195.49"/>
    <n v="2345.88"/>
    <x v="1"/>
    <s v="2024"/>
    <x v="1"/>
  </r>
  <r>
    <s v="ORD-10308"/>
    <x v="32"/>
    <x v="3"/>
    <x v="3"/>
    <x v="19"/>
    <n v="14"/>
    <n v="216.39"/>
    <n v="3029.46"/>
    <x v="9"/>
    <s v="2024"/>
    <x v="3"/>
  </r>
  <r>
    <s v="ORD-10401"/>
    <x v="33"/>
    <x v="4"/>
    <x v="3"/>
    <x v="16"/>
    <n v="10"/>
    <n v="60.9"/>
    <n v="609"/>
    <x v="6"/>
    <s v="2024"/>
    <x v="0"/>
  </r>
  <r>
    <s v="ORD-10161"/>
    <x v="18"/>
    <x v="1"/>
    <x v="0"/>
    <x v="13"/>
    <n v="17"/>
    <n v="185.49"/>
    <n v="3153.33"/>
    <x v="4"/>
    <s v="2024"/>
    <x v="3"/>
  </r>
  <r>
    <s v="ORD-10362"/>
    <x v="34"/>
    <x v="0"/>
    <x v="2"/>
    <x v="5"/>
    <n v="19"/>
    <n v="94.96"/>
    <n v="1804.2399999999998"/>
    <x v="11"/>
    <s v="2024"/>
    <x v="2"/>
  </r>
  <r>
    <s v="ORD-10014"/>
    <x v="35"/>
    <x v="1"/>
    <x v="1"/>
    <x v="1"/>
    <n v="4"/>
    <n v="96.17"/>
    <n v="384.68"/>
    <x v="8"/>
    <s v="2024"/>
    <x v="0"/>
  </r>
  <r>
    <s v="ORD-10355"/>
    <x v="36"/>
    <x v="0"/>
    <x v="2"/>
    <x v="20"/>
    <n v="11"/>
    <n v="47.41"/>
    <n v="521.51"/>
    <x v="1"/>
    <s v="2024"/>
    <x v="1"/>
  </r>
  <r>
    <s v="ORD-10208"/>
    <x v="37"/>
    <x v="3"/>
    <x v="4"/>
    <x v="17"/>
    <n v="2"/>
    <n v="16.489999999999998"/>
    <n v="32.979999999999997"/>
    <x v="11"/>
    <s v="2024"/>
    <x v="2"/>
  </r>
  <r>
    <s v="ORD-10263"/>
    <x v="38"/>
    <x v="1"/>
    <x v="0"/>
    <x v="13"/>
    <n v="4"/>
    <n v="190.7"/>
    <n v="762.8"/>
    <x v="7"/>
    <s v="2024"/>
    <x v="3"/>
  </r>
  <r>
    <s v="ORD-10184"/>
    <x v="39"/>
    <x v="1"/>
    <x v="3"/>
    <x v="19"/>
    <n v="19"/>
    <n v="201.49"/>
    <n v="3828.3100000000004"/>
    <x v="5"/>
    <s v="2024"/>
    <x v="1"/>
  </r>
  <r>
    <s v="ORD-10266"/>
    <x v="40"/>
    <x v="4"/>
    <x v="3"/>
    <x v="7"/>
    <n v="3"/>
    <n v="144.13999999999999"/>
    <n v="432.41999999999996"/>
    <x v="4"/>
    <s v="2024"/>
    <x v="3"/>
  </r>
  <r>
    <s v="ORD-10339"/>
    <x v="41"/>
    <x v="0"/>
    <x v="4"/>
    <x v="21"/>
    <n v="6"/>
    <n v="63.88"/>
    <n v="383.28000000000003"/>
    <x v="11"/>
    <s v="2024"/>
    <x v="2"/>
  </r>
  <r>
    <s v="ORD-10030"/>
    <x v="42"/>
    <x v="0"/>
    <x v="0"/>
    <x v="22"/>
    <n v="4"/>
    <n v="47.09"/>
    <n v="188.36"/>
    <x v="11"/>
    <s v="2024"/>
    <x v="2"/>
  </r>
  <r>
    <s v="ORD-10441"/>
    <x v="38"/>
    <x v="0"/>
    <x v="4"/>
    <x v="21"/>
    <n v="2"/>
    <n v="56.4"/>
    <n v="112.8"/>
    <x v="7"/>
    <s v="2024"/>
    <x v="3"/>
  </r>
  <r>
    <s v="ORD-10302"/>
    <x v="31"/>
    <x v="0"/>
    <x v="1"/>
    <x v="18"/>
    <n v="8"/>
    <n v="384.21"/>
    <n v="3073.68"/>
    <x v="1"/>
    <s v="2024"/>
    <x v="1"/>
  </r>
  <r>
    <s v="ORD-10072"/>
    <x v="16"/>
    <x v="1"/>
    <x v="0"/>
    <x v="22"/>
    <n v="10"/>
    <n v="53.76"/>
    <n v="537.6"/>
    <x v="8"/>
    <s v="2024"/>
    <x v="0"/>
  </r>
  <r>
    <s v="ORD-10497"/>
    <x v="43"/>
    <x v="0"/>
    <x v="1"/>
    <x v="12"/>
    <n v="1"/>
    <n v="67.12"/>
    <n v="67.12"/>
    <x v="5"/>
    <s v="2024"/>
    <x v="1"/>
  </r>
  <r>
    <s v="ORD-10001"/>
    <x v="44"/>
    <x v="4"/>
    <x v="2"/>
    <x v="15"/>
    <n v="9"/>
    <n v="127.29"/>
    <n v="1145.6100000000001"/>
    <x v="5"/>
    <s v="2024"/>
    <x v="1"/>
  </r>
  <r>
    <s v="ORD-10444"/>
    <x v="45"/>
    <x v="1"/>
    <x v="1"/>
    <x v="3"/>
    <n v="6"/>
    <n v="28.55"/>
    <n v="171.3"/>
    <x v="11"/>
    <s v="2024"/>
    <x v="2"/>
  </r>
  <r>
    <s v="ORD-10341"/>
    <x v="46"/>
    <x v="2"/>
    <x v="1"/>
    <x v="3"/>
    <n v="6"/>
    <n v="30.73"/>
    <n v="184.38"/>
    <x v="10"/>
    <s v="2024"/>
    <x v="2"/>
  </r>
  <r>
    <s v="ORD-10220"/>
    <x v="47"/>
    <x v="0"/>
    <x v="3"/>
    <x v="23"/>
    <n v="7"/>
    <n v="309.99"/>
    <n v="2169.9300000000003"/>
    <x v="11"/>
    <s v="2024"/>
    <x v="2"/>
  </r>
  <r>
    <s v="ORD-10499"/>
    <x v="48"/>
    <x v="0"/>
    <x v="2"/>
    <x v="2"/>
    <n v="3"/>
    <n v="268.06"/>
    <n v="804.18000000000006"/>
    <x v="7"/>
    <s v="2024"/>
    <x v="3"/>
  </r>
  <r>
    <s v="ORD-10232"/>
    <x v="49"/>
    <x v="4"/>
    <x v="4"/>
    <x v="10"/>
    <n v="3"/>
    <n v="25.76"/>
    <n v="77.28"/>
    <x v="5"/>
    <s v="2024"/>
    <x v="1"/>
  </r>
  <r>
    <s v="ORD-10338"/>
    <x v="50"/>
    <x v="2"/>
    <x v="4"/>
    <x v="9"/>
    <n v="9"/>
    <n v="18.649999999999999"/>
    <n v="167.85"/>
    <x v="1"/>
    <s v="2024"/>
    <x v="1"/>
  </r>
  <r>
    <s v="ORD-10517"/>
    <x v="51"/>
    <x v="1"/>
    <x v="4"/>
    <x v="24"/>
    <n v="11"/>
    <n v="23.07"/>
    <n v="253.77"/>
    <x v="6"/>
    <s v="2024"/>
    <x v="0"/>
  </r>
  <r>
    <s v="ORD-10443"/>
    <x v="52"/>
    <x v="2"/>
    <x v="4"/>
    <x v="17"/>
    <n v="17"/>
    <n v="15.16"/>
    <n v="257.72000000000003"/>
    <x v="4"/>
    <s v="2024"/>
    <x v="3"/>
  </r>
  <r>
    <s v="ORD-10245"/>
    <x v="53"/>
    <x v="2"/>
    <x v="0"/>
    <x v="13"/>
    <n v="17"/>
    <n v="194.73"/>
    <n v="3310.41"/>
    <x v="9"/>
    <s v="2024"/>
    <x v="3"/>
  </r>
  <r>
    <s v="ORD-10463"/>
    <x v="54"/>
    <x v="1"/>
    <x v="0"/>
    <x v="25"/>
    <n v="20"/>
    <n v="242.88"/>
    <n v="4857.6000000000004"/>
    <x v="5"/>
    <s v="2024"/>
    <x v="1"/>
  </r>
  <r>
    <s v="ORD-10509"/>
    <x v="55"/>
    <x v="1"/>
    <x v="4"/>
    <x v="17"/>
    <n v="1"/>
    <n v="15.64"/>
    <n v="15.64"/>
    <x v="5"/>
    <s v="2024"/>
    <x v="1"/>
  </r>
  <r>
    <s v="ORD-10027"/>
    <x v="56"/>
    <x v="3"/>
    <x v="2"/>
    <x v="8"/>
    <n v="3"/>
    <n v="85.14"/>
    <n v="255.42000000000002"/>
    <x v="4"/>
    <s v="2024"/>
    <x v="3"/>
  </r>
  <r>
    <s v="ORD-10306"/>
    <x v="57"/>
    <x v="2"/>
    <x v="2"/>
    <x v="8"/>
    <n v="4"/>
    <n v="77.760000000000005"/>
    <n v="311.04000000000002"/>
    <x v="2"/>
    <s v="2024"/>
    <x v="2"/>
  </r>
  <r>
    <s v="ORD-10095"/>
    <x v="58"/>
    <x v="1"/>
    <x v="4"/>
    <x v="9"/>
    <n v="5"/>
    <n v="19.22"/>
    <n v="96.1"/>
    <x v="10"/>
    <s v="2024"/>
    <x v="2"/>
  </r>
  <r>
    <s v="ORD-10115"/>
    <x v="39"/>
    <x v="1"/>
    <x v="2"/>
    <x v="14"/>
    <n v="11"/>
    <n v="1182.8599999999999"/>
    <n v="13011.46"/>
    <x v="5"/>
    <s v="2024"/>
    <x v="1"/>
  </r>
  <r>
    <s v="ORD-10328"/>
    <x v="56"/>
    <x v="2"/>
    <x v="0"/>
    <x v="25"/>
    <n v="6"/>
    <n v="240.29"/>
    <n v="1441.74"/>
    <x v="4"/>
    <s v="2024"/>
    <x v="3"/>
  </r>
  <r>
    <s v="ORD-10479"/>
    <x v="59"/>
    <x v="0"/>
    <x v="2"/>
    <x v="5"/>
    <n v="14"/>
    <n v="91.22"/>
    <n v="1277.08"/>
    <x v="2"/>
    <s v="2024"/>
    <x v="2"/>
  </r>
  <r>
    <s v="ORD-10467"/>
    <x v="60"/>
    <x v="2"/>
    <x v="0"/>
    <x v="22"/>
    <n v="9"/>
    <n v="51.65"/>
    <n v="464.84999999999997"/>
    <x v="4"/>
    <s v="2024"/>
    <x v="3"/>
  </r>
  <r>
    <s v="ORD-10516"/>
    <x v="61"/>
    <x v="0"/>
    <x v="2"/>
    <x v="15"/>
    <n v="19"/>
    <n v="129.47999999999999"/>
    <n v="2460.12"/>
    <x v="3"/>
    <s v="2024"/>
    <x v="1"/>
  </r>
  <r>
    <s v="ORD-10074"/>
    <x v="62"/>
    <x v="4"/>
    <x v="2"/>
    <x v="8"/>
    <n v="10"/>
    <n v="80.61"/>
    <n v="806.1"/>
    <x v="4"/>
    <s v="2024"/>
    <x v="3"/>
  </r>
  <r>
    <s v="ORD-10209"/>
    <x v="63"/>
    <x v="4"/>
    <x v="2"/>
    <x v="2"/>
    <n v="19"/>
    <n v="259.06"/>
    <n v="4922.1400000000003"/>
    <x v="8"/>
    <s v="2024"/>
    <x v="0"/>
  </r>
  <r>
    <s v="ORD-10275"/>
    <x v="64"/>
    <x v="3"/>
    <x v="0"/>
    <x v="25"/>
    <n v="16"/>
    <n v="247.34"/>
    <n v="3957.44"/>
    <x v="5"/>
    <s v="2024"/>
    <x v="1"/>
  </r>
  <r>
    <s v="ORD-10085"/>
    <x v="65"/>
    <x v="2"/>
    <x v="4"/>
    <x v="21"/>
    <n v="10"/>
    <n v="61.91"/>
    <n v="619.09999999999991"/>
    <x v="2"/>
    <s v="2024"/>
    <x v="2"/>
  </r>
  <r>
    <s v="ORD-10066"/>
    <x v="40"/>
    <x v="0"/>
    <x v="4"/>
    <x v="24"/>
    <n v="9"/>
    <n v="21.96"/>
    <n v="197.64000000000001"/>
    <x v="4"/>
    <s v="2024"/>
    <x v="3"/>
  </r>
  <r>
    <s v="ORD-10500"/>
    <x v="17"/>
    <x v="3"/>
    <x v="1"/>
    <x v="12"/>
    <n v="13"/>
    <n v="74.12"/>
    <n v="963.56000000000006"/>
    <x v="9"/>
    <s v="2024"/>
    <x v="3"/>
  </r>
  <r>
    <s v="ORD-10256"/>
    <x v="38"/>
    <x v="2"/>
    <x v="1"/>
    <x v="3"/>
    <n v="20"/>
    <n v="30.23"/>
    <n v="604.6"/>
    <x v="7"/>
    <s v="2024"/>
    <x v="3"/>
  </r>
  <r>
    <s v="ORD-10136"/>
    <x v="66"/>
    <x v="0"/>
    <x v="0"/>
    <x v="0"/>
    <n v="14"/>
    <n v="138.09"/>
    <n v="1933.26"/>
    <x v="3"/>
    <s v="2024"/>
    <x v="1"/>
  </r>
  <r>
    <s v="ORD-10428"/>
    <x v="67"/>
    <x v="2"/>
    <x v="2"/>
    <x v="8"/>
    <n v="18"/>
    <n v="76.73"/>
    <n v="1381.14"/>
    <x v="0"/>
    <s v="2024"/>
    <x v="0"/>
  </r>
  <r>
    <s v="ORD-10130"/>
    <x v="68"/>
    <x v="4"/>
    <x v="0"/>
    <x v="25"/>
    <n v="13"/>
    <n v="252.23"/>
    <n v="3278.99"/>
    <x v="11"/>
    <s v="2024"/>
    <x v="2"/>
  </r>
  <r>
    <s v="ORD-10141"/>
    <x v="69"/>
    <x v="2"/>
    <x v="1"/>
    <x v="3"/>
    <n v="3"/>
    <n v="29.59"/>
    <n v="88.77"/>
    <x v="5"/>
    <s v="2024"/>
    <x v="1"/>
  </r>
  <r>
    <s v="ORD-10300"/>
    <x v="70"/>
    <x v="1"/>
    <x v="4"/>
    <x v="21"/>
    <n v="13"/>
    <n v="56.78"/>
    <n v="738.14"/>
    <x v="1"/>
    <s v="2024"/>
    <x v="1"/>
  </r>
  <r>
    <s v="ORD-10402"/>
    <x v="71"/>
    <x v="4"/>
    <x v="3"/>
    <x v="11"/>
    <n v="7"/>
    <n v="96.84"/>
    <n v="677.88"/>
    <x v="7"/>
    <s v="2024"/>
    <x v="3"/>
  </r>
  <r>
    <s v="ORD-10372"/>
    <x v="13"/>
    <x v="2"/>
    <x v="4"/>
    <x v="9"/>
    <n v="16"/>
    <n v="18.2"/>
    <n v="291.2"/>
    <x v="3"/>
    <s v="2024"/>
    <x v="1"/>
  </r>
  <r>
    <s v="ORD-10151"/>
    <x v="72"/>
    <x v="4"/>
    <x v="3"/>
    <x v="11"/>
    <n v="5"/>
    <n v="102.92"/>
    <n v="514.6"/>
    <x v="4"/>
    <s v="2024"/>
    <x v="3"/>
  </r>
  <r>
    <s v="ORD-10033"/>
    <x v="14"/>
    <x v="2"/>
    <x v="1"/>
    <x v="12"/>
    <n v="17"/>
    <n v="70.61"/>
    <n v="1200.3699999999999"/>
    <x v="6"/>
    <s v="2024"/>
    <x v="0"/>
  </r>
  <r>
    <s v="ORD-10480"/>
    <x v="73"/>
    <x v="2"/>
    <x v="3"/>
    <x v="11"/>
    <n v="19"/>
    <n v="94.76"/>
    <n v="1800.44"/>
    <x v="4"/>
    <s v="2024"/>
    <x v="3"/>
  </r>
  <r>
    <s v="ORD-10094"/>
    <x v="74"/>
    <x v="0"/>
    <x v="1"/>
    <x v="3"/>
    <n v="2"/>
    <n v="28.1"/>
    <n v="56.2"/>
    <x v="7"/>
    <s v="2024"/>
    <x v="3"/>
  </r>
  <r>
    <s v="ORD-10415"/>
    <x v="75"/>
    <x v="4"/>
    <x v="4"/>
    <x v="10"/>
    <n v="18"/>
    <n v="24.74"/>
    <n v="445.32"/>
    <x v="7"/>
    <s v="2024"/>
    <x v="3"/>
  </r>
  <r>
    <s v="ORD-10392"/>
    <x v="76"/>
    <x v="0"/>
    <x v="3"/>
    <x v="11"/>
    <n v="1"/>
    <n v="106.86"/>
    <n v="106.86"/>
    <x v="5"/>
    <s v="2024"/>
    <x v="1"/>
  </r>
  <r>
    <s v="ORD-10350"/>
    <x v="77"/>
    <x v="3"/>
    <x v="1"/>
    <x v="4"/>
    <n v="7"/>
    <n v="531.94000000000005"/>
    <n v="3723.5800000000004"/>
    <x v="9"/>
    <s v="2024"/>
    <x v="3"/>
  </r>
  <r>
    <s v="ORD-10059"/>
    <x v="78"/>
    <x v="0"/>
    <x v="3"/>
    <x v="23"/>
    <n v="16"/>
    <n v="284.92"/>
    <n v="4558.72"/>
    <x v="8"/>
    <s v="2024"/>
    <x v="0"/>
  </r>
  <r>
    <s v="ORD-10454"/>
    <x v="79"/>
    <x v="1"/>
    <x v="2"/>
    <x v="20"/>
    <n v="5"/>
    <n v="44.47"/>
    <n v="222.35"/>
    <x v="1"/>
    <s v="2024"/>
    <x v="1"/>
  </r>
  <r>
    <s v="ORD-10234"/>
    <x v="80"/>
    <x v="3"/>
    <x v="2"/>
    <x v="15"/>
    <n v="16"/>
    <n v="140.24"/>
    <n v="2243.84"/>
    <x v="6"/>
    <s v="2024"/>
    <x v="0"/>
  </r>
  <r>
    <s v="ORD-10238"/>
    <x v="81"/>
    <x v="2"/>
    <x v="3"/>
    <x v="7"/>
    <n v="16"/>
    <n v="151.85"/>
    <n v="2429.6"/>
    <x v="1"/>
    <s v="2024"/>
    <x v="1"/>
  </r>
  <r>
    <s v="ORD-10485"/>
    <x v="82"/>
    <x v="2"/>
    <x v="0"/>
    <x v="0"/>
    <n v="9"/>
    <n v="150.56"/>
    <n v="1355.04"/>
    <x v="8"/>
    <s v="2024"/>
    <x v="0"/>
  </r>
  <r>
    <s v="ORD-10163"/>
    <x v="83"/>
    <x v="4"/>
    <x v="4"/>
    <x v="21"/>
    <n v="2"/>
    <n v="61.68"/>
    <n v="123.36"/>
    <x v="3"/>
    <s v="2024"/>
    <x v="1"/>
  </r>
  <r>
    <s v="ORD-10303"/>
    <x v="84"/>
    <x v="3"/>
    <x v="2"/>
    <x v="14"/>
    <n v="5"/>
    <n v="1265.21"/>
    <n v="6326.05"/>
    <x v="1"/>
    <s v="2024"/>
    <x v="1"/>
  </r>
  <r>
    <s v="ORD-10278"/>
    <x v="85"/>
    <x v="0"/>
    <x v="0"/>
    <x v="0"/>
    <n v="18"/>
    <n v="142.69999999999999"/>
    <n v="2568.6"/>
    <x v="2"/>
    <s v="2024"/>
    <x v="2"/>
  </r>
  <r>
    <s v="ORD-10367"/>
    <x v="70"/>
    <x v="2"/>
    <x v="1"/>
    <x v="4"/>
    <n v="17"/>
    <n v="584.59"/>
    <n v="9938.0300000000007"/>
    <x v="1"/>
    <s v="2024"/>
    <x v="1"/>
  </r>
  <r>
    <s v="ORD-10090"/>
    <x v="86"/>
    <x v="3"/>
    <x v="4"/>
    <x v="24"/>
    <n v="5"/>
    <n v="22.17"/>
    <n v="110.85000000000001"/>
    <x v="9"/>
    <s v="2024"/>
    <x v="3"/>
  </r>
  <r>
    <s v="ORD-10452"/>
    <x v="87"/>
    <x v="3"/>
    <x v="0"/>
    <x v="22"/>
    <n v="1"/>
    <n v="53.14"/>
    <n v="53.14"/>
    <x v="1"/>
    <s v="2024"/>
    <x v="1"/>
  </r>
  <r>
    <s v="ORD-10291"/>
    <x v="36"/>
    <x v="0"/>
    <x v="2"/>
    <x v="14"/>
    <n v="11"/>
    <n v="1286.01"/>
    <n v="14146.11"/>
    <x v="1"/>
    <s v="2024"/>
    <x v="1"/>
  </r>
  <r>
    <s v="ORD-10024"/>
    <x v="88"/>
    <x v="4"/>
    <x v="1"/>
    <x v="4"/>
    <n v="14"/>
    <n v="561.54"/>
    <n v="7861.5599999999995"/>
    <x v="11"/>
    <s v="2024"/>
    <x v="2"/>
  </r>
  <r>
    <s v="ORD-10065"/>
    <x v="89"/>
    <x v="0"/>
    <x v="1"/>
    <x v="3"/>
    <n v="6"/>
    <n v="30.74"/>
    <n v="184.44"/>
    <x v="7"/>
    <s v="2024"/>
    <x v="3"/>
  </r>
  <r>
    <s v="ORD-10093"/>
    <x v="90"/>
    <x v="3"/>
    <x v="0"/>
    <x v="0"/>
    <n v="8"/>
    <n v="149.9"/>
    <n v="1199.2"/>
    <x v="6"/>
    <s v="2024"/>
    <x v="0"/>
  </r>
  <r>
    <s v="ORD-10396"/>
    <x v="91"/>
    <x v="4"/>
    <x v="4"/>
    <x v="10"/>
    <n v="8"/>
    <n v="24.99"/>
    <n v="199.92"/>
    <x v="2"/>
    <s v="2024"/>
    <x v="2"/>
  </r>
  <r>
    <s v="ORD-10294"/>
    <x v="29"/>
    <x v="0"/>
    <x v="0"/>
    <x v="0"/>
    <n v="7"/>
    <n v="133.86000000000001"/>
    <n v="937.0200000000001"/>
    <x v="2"/>
    <s v="2024"/>
    <x v="2"/>
  </r>
  <r>
    <s v="ORD-10083"/>
    <x v="92"/>
    <x v="1"/>
    <x v="0"/>
    <x v="13"/>
    <n v="9"/>
    <n v="185.52"/>
    <n v="1669.68"/>
    <x v="1"/>
    <s v="2024"/>
    <x v="1"/>
  </r>
  <r>
    <s v="ORD-10107"/>
    <x v="91"/>
    <x v="2"/>
    <x v="4"/>
    <x v="10"/>
    <n v="11"/>
    <n v="26.77"/>
    <n v="294.46999999999997"/>
    <x v="2"/>
    <s v="2024"/>
    <x v="2"/>
  </r>
  <r>
    <s v="ORD-10262"/>
    <x v="54"/>
    <x v="0"/>
    <x v="0"/>
    <x v="0"/>
    <n v="18"/>
    <n v="142.61000000000001"/>
    <n v="2566.9800000000005"/>
    <x v="5"/>
    <s v="2024"/>
    <x v="1"/>
  </r>
  <r>
    <s v="ORD-10019"/>
    <x v="93"/>
    <x v="1"/>
    <x v="1"/>
    <x v="1"/>
    <n v="8"/>
    <n v="84.65"/>
    <n v="677.2"/>
    <x v="3"/>
    <s v="2024"/>
    <x v="1"/>
  </r>
  <r>
    <s v="ORD-10405"/>
    <x v="94"/>
    <x v="1"/>
    <x v="1"/>
    <x v="4"/>
    <n v="4"/>
    <n v="553.45000000000005"/>
    <n v="2213.8000000000002"/>
    <x v="2"/>
    <s v="2024"/>
    <x v="2"/>
  </r>
  <r>
    <s v="ORD-10492"/>
    <x v="95"/>
    <x v="0"/>
    <x v="3"/>
    <x v="19"/>
    <n v="10"/>
    <n v="189.37"/>
    <n v="1893.7"/>
    <x v="7"/>
    <s v="2024"/>
    <x v="3"/>
  </r>
  <r>
    <s v="ORD-10189"/>
    <x v="96"/>
    <x v="0"/>
    <x v="3"/>
    <x v="7"/>
    <n v="1"/>
    <n v="143.56"/>
    <n v="143.56"/>
    <x v="9"/>
    <s v="2024"/>
    <x v="3"/>
  </r>
  <r>
    <s v="ORD-10197"/>
    <x v="97"/>
    <x v="2"/>
    <x v="0"/>
    <x v="22"/>
    <n v="8"/>
    <n v="51.85"/>
    <n v="414.8"/>
    <x v="9"/>
    <s v="2024"/>
    <x v="3"/>
  </r>
  <r>
    <s v="ORD-10304"/>
    <x v="98"/>
    <x v="3"/>
    <x v="3"/>
    <x v="19"/>
    <n v="9"/>
    <n v="210.93"/>
    <n v="1898.3700000000001"/>
    <x v="8"/>
    <s v="2024"/>
    <x v="0"/>
  </r>
  <r>
    <s v="ORD-10426"/>
    <x v="99"/>
    <x v="4"/>
    <x v="3"/>
    <x v="16"/>
    <n v="20"/>
    <n v="56.82"/>
    <n v="1136.4000000000001"/>
    <x v="4"/>
    <s v="2024"/>
    <x v="3"/>
  </r>
  <r>
    <s v="ORD-10447"/>
    <x v="100"/>
    <x v="3"/>
    <x v="3"/>
    <x v="19"/>
    <n v="17"/>
    <n v="217.65"/>
    <n v="3700.05"/>
    <x v="11"/>
    <s v="2024"/>
    <x v="2"/>
  </r>
  <r>
    <s v="ORD-10213"/>
    <x v="101"/>
    <x v="0"/>
    <x v="1"/>
    <x v="3"/>
    <n v="9"/>
    <n v="31.7"/>
    <n v="285.3"/>
    <x v="8"/>
    <s v="2024"/>
    <x v="0"/>
  </r>
  <r>
    <s v="ORD-10388"/>
    <x v="102"/>
    <x v="2"/>
    <x v="3"/>
    <x v="16"/>
    <n v="14"/>
    <n v="62.59"/>
    <n v="876.26"/>
    <x v="11"/>
    <s v="2024"/>
    <x v="2"/>
  </r>
  <r>
    <s v="ORD-10385"/>
    <x v="103"/>
    <x v="3"/>
    <x v="3"/>
    <x v="7"/>
    <n v="10"/>
    <n v="145.13"/>
    <n v="1451.3"/>
    <x v="4"/>
    <s v="2024"/>
    <x v="3"/>
  </r>
  <r>
    <s v="ORD-10201"/>
    <x v="104"/>
    <x v="2"/>
    <x v="0"/>
    <x v="0"/>
    <n v="7"/>
    <n v="152.01"/>
    <n v="1064.07"/>
    <x v="1"/>
    <s v="2024"/>
    <x v="1"/>
  </r>
  <r>
    <s v="ORD-10408"/>
    <x v="105"/>
    <x v="3"/>
    <x v="1"/>
    <x v="1"/>
    <n v="18"/>
    <n v="93.82"/>
    <n v="1688.7599999999998"/>
    <x v="1"/>
    <s v="2024"/>
    <x v="1"/>
  </r>
  <r>
    <s v="ORD-10228"/>
    <x v="30"/>
    <x v="1"/>
    <x v="1"/>
    <x v="3"/>
    <n v="10"/>
    <n v="28.75"/>
    <n v="287.5"/>
    <x v="1"/>
    <s v="2024"/>
    <x v="1"/>
  </r>
  <r>
    <s v="ORD-10429"/>
    <x v="106"/>
    <x v="2"/>
    <x v="1"/>
    <x v="12"/>
    <n v="7"/>
    <n v="69.819999999999993"/>
    <n v="488.73999999999995"/>
    <x v="10"/>
    <s v="2024"/>
    <x v="2"/>
  </r>
  <r>
    <s v="ORD-10363"/>
    <x v="107"/>
    <x v="0"/>
    <x v="0"/>
    <x v="13"/>
    <n v="1"/>
    <n v="182.78"/>
    <n v="182.78"/>
    <x v="5"/>
    <s v="2024"/>
    <x v="1"/>
  </r>
  <r>
    <s v="ORD-10206"/>
    <x v="86"/>
    <x v="4"/>
    <x v="1"/>
    <x v="18"/>
    <n v="18"/>
    <n v="437.58"/>
    <n v="7876.44"/>
    <x v="9"/>
    <s v="2024"/>
    <x v="3"/>
  </r>
  <r>
    <s v="ORD-10370"/>
    <x v="108"/>
    <x v="3"/>
    <x v="0"/>
    <x v="25"/>
    <n v="10"/>
    <n v="240.2"/>
    <n v="2402"/>
    <x v="0"/>
    <s v="2024"/>
    <x v="0"/>
  </r>
  <r>
    <s v="ORD-10349"/>
    <x v="108"/>
    <x v="4"/>
    <x v="4"/>
    <x v="9"/>
    <n v="17"/>
    <n v="19.68"/>
    <n v="334.56"/>
    <x v="0"/>
    <s v="2024"/>
    <x v="0"/>
  </r>
  <r>
    <s v="ORD-10186"/>
    <x v="109"/>
    <x v="1"/>
    <x v="1"/>
    <x v="12"/>
    <n v="11"/>
    <n v="73.150000000000006"/>
    <n v="804.65000000000009"/>
    <x v="0"/>
    <s v="2024"/>
    <x v="0"/>
  </r>
  <r>
    <s v="ORD-10140"/>
    <x v="69"/>
    <x v="0"/>
    <x v="4"/>
    <x v="24"/>
    <n v="19"/>
    <n v="22.38"/>
    <n v="425.21999999999997"/>
    <x v="5"/>
    <s v="2024"/>
    <x v="1"/>
  </r>
  <r>
    <s v="ORD-10297"/>
    <x v="110"/>
    <x v="0"/>
    <x v="4"/>
    <x v="9"/>
    <n v="8"/>
    <n v="19.47"/>
    <n v="155.76"/>
    <x v="8"/>
    <s v="2024"/>
    <x v="0"/>
  </r>
  <r>
    <s v="ORD-10407"/>
    <x v="60"/>
    <x v="2"/>
    <x v="0"/>
    <x v="6"/>
    <n v="18"/>
    <n v="18.809999999999999"/>
    <n v="338.58"/>
    <x v="4"/>
    <s v="2024"/>
    <x v="3"/>
  </r>
  <r>
    <s v="ORD-10063"/>
    <x v="111"/>
    <x v="3"/>
    <x v="2"/>
    <x v="15"/>
    <n v="10"/>
    <n v="139"/>
    <n v="1390"/>
    <x v="3"/>
    <s v="2024"/>
    <x v="1"/>
  </r>
  <r>
    <s v="ORD-10152"/>
    <x v="91"/>
    <x v="0"/>
    <x v="2"/>
    <x v="20"/>
    <n v="12"/>
    <n v="47.32"/>
    <n v="567.84"/>
    <x v="2"/>
    <s v="2024"/>
    <x v="2"/>
  </r>
  <r>
    <s v="ORD-10264"/>
    <x v="64"/>
    <x v="0"/>
    <x v="3"/>
    <x v="7"/>
    <n v="4"/>
    <n v="141.79"/>
    <n v="567.16"/>
    <x v="5"/>
    <s v="2024"/>
    <x v="1"/>
  </r>
  <r>
    <s v="ORD-10271"/>
    <x v="112"/>
    <x v="1"/>
    <x v="2"/>
    <x v="8"/>
    <n v="6"/>
    <n v="79.38"/>
    <n v="476.28"/>
    <x v="10"/>
    <s v="2024"/>
    <x v="2"/>
  </r>
  <r>
    <s v="ORD-10301"/>
    <x v="113"/>
    <x v="3"/>
    <x v="1"/>
    <x v="1"/>
    <n v="11"/>
    <n v="89.77"/>
    <n v="987.46999999999991"/>
    <x v="4"/>
    <s v="2024"/>
    <x v="3"/>
  </r>
  <r>
    <s v="ORD-10134"/>
    <x v="114"/>
    <x v="2"/>
    <x v="3"/>
    <x v="16"/>
    <n v="4"/>
    <n v="56.12"/>
    <n v="224.48"/>
    <x v="2"/>
    <s v="2024"/>
    <x v="2"/>
  </r>
  <r>
    <s v="ORD-10284"/>
    <x v="70"/>
    <x v="2"/>
    <x v="1"/>
    <x v="3"/>
    <n v="16"/>
    <n v="28.17"/>
    <n v="450.72"/>
    <x v="1"/>
    <s v="2024"/>
    <x v="1"/>
  </r>
  <r>
    <s v="ORD-10138"/>
    <x v="115"/>
    <x v="3"/>
    <x v="3"/>
    <x v="19"/>
    <n v="3"/>
    <n v="204.29"/>
    <n v="612.87"/>
    <x v="0"/>
    <s v="2024"/>
    <x v="0"/>
  </r>
  <r>
    <s v="ORD-10147"/>
    <x v="61"/>
    <x v="0"/>
    <x v="3"/>
    <x v="16"/>
    <n v="20"/>
    <n v="63.78"/>
    <n v="1275.5999999999999"/>
    <x v="3"/>
    <s v="2024"/>
    <x v="1"/>
  </r>
  <r>
    <s v="ORD-10489"/>
    <x v="116"/>
    <x v="3"/>
    <x v="1"/>
    <x v="1"/>
    <n v="6"/>
    <n v="84.93"/>
    <n v="509.58000000000004"/>
    <x v="9"/>
    <s v="2024"/>
    <x v="3"/>
  </r>
  <r>
    <s v="ORD-10285"/>
    <x v="117"/>
    <x v="0"/>
    <x v="0"/>
    <x v="6"/>
    <n v="12"/>
    <n v="18.329999999999998"/>
    <n v="219.95999999999998"/>
    <x v="10"/>
    <s v="2024"/>
    <x v="2"/>
  </r>
  <r>
    <s v="ORD-10457"/>
    <x v="118"/>
    <x v="2"/>
    <x v="0"/>
    <x v="6"/>
    <n v="13"/>
    <n v="19.14"/>
    <n v="248.82"/>
    <x v="3"/>
    <s v="2024"/>
    <x v="1"/>
  </r>
  <r>
    <s v="ORD-10011"/>
    <x v="119"/>
    <x v="0"/>
    <x v="3"/>
    <x v="19"/>
    <n v="5"/>
    <n v="204.26"/>
    <n v="1021.3"/>
    <x v="3"/>
    <s v="2024"/>
    <x v="1"/>
  </r>
  <r>
    <s v="ORD-10104"/>
    <x v="120"/>
    <x v="0"/>
    <x v="3"/>
    <x v="19"/>
    <n v="20"/>
    <n v="212.99"/>
    <n v="4259.8"/>
    <x v="5"/>
    <s v="2024"/>
    <x v="1"/>
  </r>
  <r>
    <s v="ORD-10110"/>
    <x v="76"/>
    <x v="3"/>
    <x v="2"/>
    <x v="15"/>
    <n v="15"/>
    <n v="140.15"/>
    <n v="2102.25"/>
    <x v="5"/>
    <s v="2024"/>
    <x v="1"/>
  </r>
  <r>
    <s v="ORD-10064"/>
    <x v="28"/>
    <x v="1"/>
    <x v="4"/>
    <x v="10"/>
    <n v="3"/>
    <n v="25.65"/>
    <n v="76.949999999999989"/>
    <x v="0"/>
    <s v="2024"/>
    <x v="0"/>
  </r>
  <r>
    <s v="ORD-10118"/>
    <x v="121"/>
    <x v="4"/>
    <x v="1"/>
    <x v="12"/>
    <n v="2"/>
    <n v="66.86"/>
    <n v="133.72"/>
    <x v="0"/>
    <s v="2024"/>
    <x v="0"/>
  </r>
  <r>
    <s v="ORD-10084"/>
    <x v="78"/>
    <x v="3"/>
    <x v="0"/>
    <x v="0"/>
    <n v="16"/>
    <n v="152.25"/>
    <n v="2436"/>
    <x v="8"/>
    <s v="2024"/>
    <x v="0"/>
  </r>
  <r>
    <s v="ORD-10210"/>
    <x v="122"/>
    <x v="0"/>
    <x v="1"/>
    <x v="1"/>
    <n v="15"/>
    <n v="88.19"/>
    <n v="1322.85"/>
    <x v="4"/>
    <s v="2024"/>
    <x v="3"/>
  </r>
  <r>
    <s v="ORD-10274"/>
    <x v="123"/>
    <x v="1"/>
    <x v="4"/>
    <x v="21"/>
    <n v="20"/>
    <n v="57.27"/>
    <n v="1145.4000000000001"/>
    <x v="2"/>
    <s v="2024"/>
    <x v="2"/>
  </r>
  <r>
    <s v="ORD-10113"/>
    <x v="124"/>
    <x v="2"/>
    <x v="1"/>
    <x v="3"/>
    <n v="15"/>
    <n v="31.68"/>
    <n v="475.2"/>
    <x v="1"/>
    <s v="2024"/>
    <x v="1"/>
  </r>
  <r>
    <s v="ORD-10327"/>
    <x v="125"/>
    <x v="3"/>
    <x v="2"/>
    <x v="2"/>
    <n v="20"/>
    <n v="244.73"/>
    <n v="4894.5999999999995"/>
    <x v="8"/>
    <s v="2024"/>
    <x v="0"/>
  </r>
  <r>
    <s v="ORD-10017"/>
    <x v="6"/>
    <x v="3"/>
    <x v="4"/>
    <x v="24"/>
    <n v="6"/>
    <n v="21.77"/>
    <n v="130.62"/>
    <x v="2"/>
    <s v="2024"/>
    <x v="2"/>
  </r>
  <r>
    <s v="ORD-10255"/>
    <x v="126"/>
    <x v="2"/>
    <x v="3"/>
    <x v="16"/>
    <n v="16"/>
    <n v="57.34"/>
    <n v="917.44"/>
    <x v="2"/>
    <s v="2024"/>
    <x v="2"/>
  </r>
  <r>
    <s v="ORD-10332"/>
    <x v="127"/>
    <x v="1"/>
    <x v="1"/>
    <x v="4"/>
    <n v="11"/>
    <n v="580.59"/>
    <n v="6386.4900000000007"/>
    <x v="0"/>
    <s v="2024"/>
    <x v="0"/>
  </r>
  <r>
    <s v="ORD-10346"/>
    <x v="128"/>
    <x v="0"/>
    <x v="1"/>
    <x v="12"/>
    <n v="13"/>
    <n v="69.37"/>
    <n v="901.81000000000006"/>
    <x v="3"/>
    <s v="2024"/>
    <x v="1"/>
  </r>
  <r>
    <s v="ORD-10216"/>
    <x v="129"/>
    <x v="0"/>
    <x v="0"/>
    <x v="0"/>
    <n v="18"/>
    <n v="148.77000000000001"/>
    <n v="2677.86"/>
    <x v="7"/>
    <s v="2024"/>
    <x v="3"/>
  </r>
  <r>
    <s v="ORD-10424"/>
    <x v="130"/>
    <x v="1"/>
    <x v="2"/>
    <x v="8"/>
    <n v="8"/>
    <n v="85.85"/>
    <n v="686.8"/>
    <x v="8"/>
    <s v="2024"/>
    <x v="0"/>
  </r>
  <r>
    <s v="ORD-10004"/>
    <x v="78"/>
    <x v="3"/>
    <x v="1"/>
    <x v="12"/>
    <n v="4"/>
    <n v="66.510000000000005"/>
    <n v="266.04000000000002"/>
    <x v="8"/>
    <s v="2024"/>
    <x v="0"/>
  </r>
  <r>
    <s v="ORD-10337"/>
    <x v="131"/>
    <x v="0"/>
    <x v="1"/>
    <x v="12"/>
    <n v="3"/>
    <n v="68.010000000000005"/>
    <n v="204.03000000000003"/>
    <x v="10"/>
    <s v="2024"/>
    <x v="2"/>
  </r>
  <r>
    <s v="ORD-10009"/>
    <x v="100"/>
    <x v="3"/>
    <x v="2"/>
    <x v="2"/>
    <n v="13"/>
    <n v="246.55"/>
    <n v="3205.15"/>
    <x v="11"/>
    <s v="2024"/>
    <x v="2"/>
  </r>
  <r>
    <s v="ORD-10488"/>
    <x v="132"/>
    <x v="4"/>
    <x v="3"/>
    <x v="11"/>
    <n v="5"/>
    <n v="95.3"/>
    <n v="476.5"/>
    <x v="10"/>
    <s v="2024"/>
    <x v="2"/>
  </r>
  <r>
    <s v="ORD-10050"/>
    <x v="133"/>
    <x v="0"/>
    <x v="1"/>
    <x v="4"/>
    <n v="17"/>
    <n v="559.80999999999995"/>
    <n v="9516.7699999999986"/>
    <x v="10"/>
    <s v="2024"/>
    <x v="2"/>
  </r>
  <r>
    <s v="ORD-10042"/>
    <x v="134"/>
    <x v="3"/>
    <x v="3"/>
    <x v="23"/>
    <n v="14"/>
    <n v="284.13"/>
    <n v="3977.8199999999997"/>
    <x v="3"/>
    <s v="2024"/>
    <x v="1"/>
  </r>
  <r>
    <s v="ORD-10246"/>
    <x v="125"/>
    <x v="4"/>
    <x v="2"/>
    <x v="15"/>
    <n v="9"/>
    <n v="139.94999999999999"/>
    <n v="1259.55"/>
    <x v="8"/>
    <s v="2024"/>
    <x v="0"/>
  </r>
  <r>
    <s v="ORD-10122"/>
    <x v="74"/>
    <x v="1"/>
    <x v="0"/>
    <x v="6"/>
    <n v="15"/>
    <n v="18.46"/>
    <n v="276.90000000000003"/>
    <x v="7"/>
    <s v="2024"/>
    <x v="3"/>
  </r>
  <r>
    <s v="ORD-10126"/>
    <x v="135"/>
    <x v="4"/>
    <x v="3"/>
    <x v="11"/>
    <n v="10"/>
    <n v="99.27"/>
    <n v="992.69999999999993"/>
    <x v="9"/>
    <s v="2024"/>
    <x v="3"/>
  </r>
  <r>
    <s v="ORD-10100"/>
    <x v="136"/>
    <x v="3"/>
    <x v="4"/>
    <x v="24"/>
    <n v="5"/>
    <n v="21.67"/>
    <n v="108.35000000000001"/>
    <x v="1"/>
    <s v="2024"/>
    <x v="1"/>
  </r>
  <r>
    <s v="ORD-10398"/>
    <x v="137"/>
    <x v="4"/>
    <x v="2"/>
    <x v="20"/>
    <n v="14"/>
    <n v="42.99"/>
    <n v="601.86"/>
    <x v="5"/>
    <s v="2024"/>
    <x v="1"/>
  </r>
  <r>
    <s v="ORD-10298"/>
    <x v="138"/>
    <x v="3"/>
    <x v="4"/>
    <x v="24"/>
    <n v="14"/>
    <n v="22.11"/>
    <n v="309.53999999999996"/>
    <x v="0"/>
    <s v="2024"/>
    <x v="0"/>
  </r>
  <r>
    <s v="ORD-10495"/>
    <x v="35"/>
    <x v="4"/>
    <x v="4"/>
    <x v="17"/>
    <n v="17"/>
    <n v="15.97"/>
    <n v="271.49"/>
    <x v="8"/>
    <s v="2024"/>
    <x v="0"/>
  </r>
  <r>
    <s v="ORD-10279"/>
    <x v="139"/>
    <x v="4"/>
    <x v="4"/>
    <x v="24"/>
    <n v="7"/>
    <n v="24.17"/>
    <n v="169.19"/>
    <x v="3"/>
    <s v="2024"/>
    <x v="1"/>
  </r>
  <r>
    <s v="ORD-10496"/>
    <x v="140"/>
    <x v="2"/>
    <x v="4"/>
    <x v="17"/>
    <n v="3"/>
    <n v="14.66"/>
    <n v="43.980000000000004"/>
    <x v="4"/>
    <s v="2024"/>
    <x v="3"/>
  </r>
  <r>
    <s v="ORD-10129"/>
    <x v="141"/>
    <x v="2"/>
    <x v="3"/>
    <x v="23"/>
    <n v="6"/>
    <n v="323.06"/>
    <n v="1938.3600000000001"/>
    <x v="0"/>
    <s v="2024"/>
    <x v="0"/>
  </r>
  <r>
    <s v="ORD-10366"/>
    <x v="8"/>
    <x v="2"/>
    <x v="3"/>
    <x v="23"/>
    <n v="16"/>
    <n v="286.91000000000003"/>
    <n v="4590.5600000000004"/>
    <x v="5"/>
    <s v="2024"/>
    <x v="1"/>
  </r>
  <r>
    <s v="ORD-10123"/>
    <x v="142"/>
    <x v="3"/>
    <x v="4"/>
    <x v="21"/>
    <n v="8"/>
    <n v="59.71"/>
    <n v="477.68"/>
    <x v="3"/>
    <s v="2024"/>
    <x v="1"/>
  </r>
  <r>
    <s v="ORD-10418"/>
    <x v="128"/>
    <x v="1"/>
    <x v="4"/>
    <x v="9"/>
    <n v="12"/>
    <n v="18.68"/>
    <n v="224.16"/>
    <x v="3"/>
    <s v="2024"/>
    <x v="1"/>
  </r>
  <r>
    <s v="ORD-10501"/>
    <x v="116"/>
    <x v="3"/>
    <x v="2"/>
    <x v="5"/>
    <n v="15"/>
    <n v="94.37"/>
    <n v="1415.5500000000002"/>
    <x v="9"/>
    <s v="2024"/>
    <x v="3"/>
  </r>
  <r>
    <s v="ORD-10092"/>
    <x v="143"/>
    <x v="3"/>
    <x v="4"/>
    <x v="24"/>
    <n v="16"/>
    <n v="22.04"/>
    <n v="352.64"/>
    <x v="4"/>
    <s v="2024"/>
    <x v="3"/>
  </r>
  <r>
    <s v="ORD-10458"/>
    <x v="144"/>
    <x v="0"/>
    <x v="3"/>
    <x v="16"/>
    <n v="19"/>
    <n v="59.1"/>
    <n v="1122.9000000000001"/>
    <x v="3"/>
    <s v="2024"/>
    <x v="1"/>
  </r>
  <r>
    <s v="ORD-10453"/>
    <x v="145"/>
    <x v="1"/>
    <x v="4"/>
    <x v="17"/>
    <n v="16"/>
    <n v="16.03"/>
    <n v="256.48"/>
    <x v="11"/>
    <s v="2024"/>
    <x v="2"/>
  </r>
  <r>
    <s v="ORD-10357"/>
    <x v="116"/>
    <x v="2"/>
    <x v="3"/>
    <x v="7"/>
    <n v="20"/>
    <n v="155.97999999999999"/>
    <n v="3119.6"/>
    <x v="9"/>
    <s v="2024"/>
    <x v="3"/>
  </r>
  <r>
    <s v="ORD-10194"/>
    <x v="114"/>
    <x v="2"/>
    <x v="4"/>
    <x v="24"/>
    <n v="15"/>
    <n v="21.39"/>
    <n v="320.85000000000002"/>
    <x v="2"/>
    <s v="2024"/>
    <x v="2"/>
  </r>
  <r>
    <s v="ORD-10153"/>
    <x v="77"/>
    <x v="3"/>
    <x v="0"/>
    <x v="25"/>
    <n v="10"/>
    <n v="272.62"/>
    <n v="2726.2"/>
    <x v="9"/>
    <s v="2024"/>
    <x v="3"/>
  </r>
  <r>
    <s v="ORD-10060"/>
    <x v="107"/>
    <x v="4"/>
    <x v="2"/>
    <x v="5"/>
    <n v="7"/>
    <n v="95.75"/>
    <n v="670.25"/>
    <x v="5"/>
    <s v="2024"/>
    <x v="1"/>
  </r>
  <r>
    <s v="ORD-10207"/>
    <x v="107"/>
    <x v="3"/>
    <x v="3"/>
    <x v="16"/>
    <n v="10"/>
    <n v="61.77"/>
    <n v="617.70000000000005"/>
    <x v="5"/>
    <s v="2024"/>
    <x v="1"/>
  </r>
  <r>
    <s v="ORD-10321"/>
    <x v="33"/>
    <x v="3"/>
    <x v="1"/>
    <x v="3"/>
    <n v="12"/>
    <n v="30.54"/>
    <n v="366.48"/>
    <x v="6"/>
    <s v="2024"/>
    <x v="0"/>
  </r>
  <r>
    <s v="ORD-10156"/>
    <x v="65"/>
    <x v="2"/>
    <x v="4"/>
    <x v="24"/>
    <n v="5"/>
    <n v="23.64"/>
    <n v="118.2"/>
    <x v="2"/>
    <s v="2024"/>
    <x v="2"/>
  </r>
  <r>
    <s v="ORD-10069"/>
    <x v="146"/>
    <x v="0"/>
    <x v="4"/>
    <x v="21"/>
    <n v="1"/>
    <n v="56.87"/>
    <n v="56.87"/>
    <x v="8"/>
    <s v="2024"/>
    <x v="0"/>
  </r>
  <r>
    <s v="ORD-10158"/>
    <x v="147"/>
    <x v="2"/>
    <x v="1"/>
    <x v="4"/>
    <n v="2"/>
    <n v="545.16999999999996"/>
    <n v="1090.3399999999999"/>
    <x v="10"/>
    <s v="2024"/>
    <x v="2"/>
  </r>
  <r>
    <s v="ORD-10289"/>
    <x v="148"/>
    <x v="2"/>
    <x v="1"/>
    <x v="12"/>
    <n v="3"/>
    <n v="72.319999999999993"/>
    <n v="216.95999999999998"/>
    <x v="2"/>
    <s v="2024"/>
    <x v="2"/>
  </r>
  <r>
    <s v="ORD-10260"/>
    <x v="3"/>
    <x v="3"/>
    <x v="0"/>
    <x v="13"/>
    <n v="15"/>
    <n v="195.37"/>
    <n v="2930.55"/>
    <x v="3"/>
    <s v="2024"/>
    <x v="1"/>
  </r>
  <r>
    <s v="ORD-10007"/>
    <x v="149"/>
    <x v="2"/>
    <x v="1"/>
    <x v="12"/>
    <n v="12"/>
    <n v="67.72"/>
    <n v="812.64"/>
    <x v="9"/>
    <s v="2024"/>
    <x v="3"/>
  </r>
  <r>
    <s v="ORD-10225"/>
    <x v="150"/>
    <x v="4"/>
    <x v="4"/>
    <x v="24"/>
    <n v="1"/>
    <n v="21.69"/>
    <n v="21.69"/>
    <x v="10"/>
    <s v="2024"/>
    <x v="2"/>
  </r>
  <r>
    <s v="ORD-10034"/>
    <x v="16"/>
    <x v="4"/>
    <x v="2"/>
    <x v="2"/>
    <n v="5"/>
    <n v="260.35000000000002"/>
    <n v="1301.75"/>
    <x v="8"/>
    <s v="2024"/>
    <x v="0"/>
  </r>
  <r>
    <s v="ORD-10331"/>
    <x v="151"/>
    <x v="1"/>
    <x v="3"/>
    <x v="19"/>
    <n v="16"/>
    <n v="190.18"/>
    <n v="3042.88"/>
    <x v="4"/>
    <s v="2024"/>
    <x v="3"/>
  </r>
  <r>
    <s v="ORD-10483"/>
    <x v="105"/>
    <x v="1"/>
    <x v="4"/>
    <x v="21"/>
    <n v="3"/>
    <n v="59.42"/>
    <n v="178.26"/>
    <x v="1"/>
    <s v="2024"/>
    <x v="1"/>
  </r>
  <r>
    <s v="ORD-10200"/>
    <x v="152"/>
    <x v="1"/>
    <x v="3"/>
    <x v="7"/>
    <n v="17"/>
    <n v="149.97"/>
    <n v="2549.4899999999998"/>
    <x v="6"/>
    <s v="2024"/>
    <x v="0"/>
  </r>
  <r>
    <s v="ORD-10518"/>
    <x v="153"/>
    <x v="2"/>
    <x v="3"/>
    <x v="7"/>
    <n v="14"/>
    <n v="160.01"/>
    <n v="2240.14"/>
    <x v="3"/>
    <s v="2024"/>
    <x v="1"/>
  </r>
  <r>
    <s v="ORD-10267"/>
    <x v="154"/>
    <x v="1"/>
    <x v="4"/>
    <x v="10"/>
    <n v="16"/>
    <n v="24.12"/>
    <n v="385.92"/>
    <x v="6"/>
    <s v="2024"/>
    <x v="0"/>
  </r>
  <r>
    <s v="ORD-10190"/>
    <x v="41"/>
    <x v="4"/>
    <x v="3"/>
    <x v="7"/>
    <n v="20"/>
    <n v="161.27000000000001"/>
    <n v="3225.4"/>
    <x v="11"/>
    <s v="2024"/>
    <x v="2"/>
  </r>
  <r>
    <s v="ORD-10462"/>
    <x v="155"/>
    <x v="3"/>
    <x v="4"/>
    <x v="21"/>
    <n v="1"/>
    <n v="57.84"/>
    <n v="57.84"/>
    <x v="11"/>
    <s v="2024"/>
    <x v="2"/>
  </r>
  <r>
    <s v="ORD-10211"/>
    <x v="156"/>
    <x v="4"/>
    <x v="3"/>
    <x v="16"/>
    <n v="19"/>
    <n v="62.02"/>
    <n v="1178.3800000000001"/>
    <x v="6"/>
    <s v="2024"/>
    <x v="0"/>
  </r>
  <r>
    <s v="ORD-10191"/>
    <x v="157"/>
    <x v="3"/>
    <x v="3"/>
    <x v="16"/>
    <n v="13"/>
    <n v="59.29"/>
    <n v="770.77"/>
    <x v="9"/>
    <s v="2024"/>
    <x v="3"/>
  </r>
  <r>
    <s v="ORD-10427"/>
    <x v="97"/>
    <x v="3"/>
    <x v="0"/>
    <x v="25"/>
    <n v="5"/>
    <n v="264.44"/>
    <n v="1322.2"/>
    <x v="9"/>
    <s v="2024"/>
    <x v="3"/>
  </r>
  <r>
    <s v="ORD-10326"/>
    <x v="158"/>
    <x v="1"/>
    <x v="2"/>
    <x v="20"/>
    <n v="12"/>
    <n v="45.99"/>
    <n v="551.88"/>
    <x v="5"/>
    <s v="2024"/>
    <x v="1"/>
  </r>
  <r>
    <s v="ORD-10378"/>
    <x v="9"/>
    <x v="3"/>
    <x v="2"/>
    <x v="20"/>
    <n v="17"/>
    <n v="46.72"/>
    <n v="794.24"/>
    <x v="0"/>
    <s v="2024"/>
    <x v="0"/>
  </r>
  <r>
    <s v="ORD-10106"/>
    <x v="159"/>
    <x v="2"/>
    <x v="4"/>
    <x v="17"/>
    <n v="7"/>
    <n v="14.55"/>
    <n v="101.85000000000001"/>
    <x v="8"/>
    <s v="2024"/>
    <x v="0"/>
  </r>
  <r>
    <s v="ORD-10224"/>
    <x v="160"/>
    <x v="1"/>
    <x v="4"/>
    <x v="24"/>
    <n v="13"/>
    <n v="23.62"/>
    <n v="307.06"/>
    <x v="9"/>
    <s v="2024"/>
    <x v="3"/>
  </r>
  <r>
    <s v="ORD-10265"/>
    <x v="66"/>
    <x v="3"/>
    <x v="4"/>
    <x v="10"/>
    <n v="13"/>
    <n v="25.49"/>
    <n v="331.37"/>
    <x v="3"/>
    <s v="2024"/>
    <x v="1"/>
  </r>
  <r>
    <s v="ORD-10348"/>
    <x v="83"/>
    <x v="4"/>
    <x v="4"/>
    <x v="24"/>
    <n v="14"/>
    <n v="24.09"/>
    <n v="337.26"/>
    <x v="3"/>
    <s v="2024"/>
    <x v="1"/>
  </r>
  <r>
    <s v="ORD-10187"/>
    <x v="161"/>
    <x v="4"/>
    <x v="3"/>
    <x v="19"/>
    <n v="15"/>
    <n v="192.71"/>
    <n v="2890.65"/>
    <x v="3"/>
    <s v="2024"/>
    <x v="1"/>
  </r>
  <r>
    <s v="ORD-10459"/>
    <x v="162"/>
    <x v="0"/>
    <x v="1"/>
    <x v="18"/>
    <n v="7"/>
    <n v="409.47"/>
    <n v="2866.29"/>
    <x v="6"/>
    <s v="2024"/>
    <x v="0"/>
  </r>
  <r>
    <s v="ORD-10215"/>
    <x v="9"/>
    <x v="4"/>
    <x v="3"/>
    <x v="16"/>
    <n v="20"/>
    <n v="58"/>
    <n v="1160"/>
    <x v="0"/>
    <s v="2024"/>
    <x v="0"/>
  </r>
  <r>
    <s v="ORD-10343"/>
    <x v="71"/>
    <x v="1"/>
    <x v="0"/>
    <x v="6"/>
    <n v="10"/>
    <n v="17.899999999999999"/>
    <n v="179"/>
    <x v="7"/>
    <s v="2024"/>
    <x v="3"/>
  </r>
  <r>
    <s v="ORD-10504"/>
    <x v="42"/>
    <x v="4"/>
    <x v="0"/>
    <x v="0"/>
    <n v="20"/>
    <n v="135.28"/>
    <n v="2705.6"/>
    <x v="11"/>
    <s v="2024"/>
    <x v="2"/>
  </r>
  <r>
    <s v="ORD-10322"/>
    <x v="20"/>
    <x v="4"/>
    <x v="2"/>
    <x v="5"/>
    <n v="15"/>
    <n v="95.35"/>
    <n v="1430.25"/>
    <x v="10"/>
    <s v="2024"/>
    <x v="2"/>
  </r>
  <r>
    <s v="ORD-10311"/>
    <x v="160"/>
    <x v="2"/>
    <x v="0"/>
    <x v="0"/>
    <n v="7"/>
    <n v="147.32"/>
    <n v="1031.24"/>
    <x v="9"/>
    <s v="2024"/>
    <x v="3"/>
  </r>
  <r>
    <s v="ORD-10387"/>
    <x v="113"/>
    <x v="4"/>
    <x v="2"/>
    <x v="2"/>
    <n v="8"/>
    <n v="253.61"/>
    <n v="2028.88"/>
    <x v="4"/>
    <s v="2024"/>
    <x v="3"/>
  </r>
  <r>
    <s v="ORD-10143"/>
    <x v="163"/>
    <x v="1"/>
    <x v="0"/>
    <x v="0"/>
    <n v="15"/>
    <n v="144.15"/>
    <n v="2162.25"/>
    <x v="5"/>
    <s v="2024"/>
    <x v="1"/>
  </r>
  <r>
    <s v="ORD-10018"/>
    <x v="124"/>
    <x v="3"/>
    <x v="3"/>
    <x v="7"/>
    <n v="12"/>
    <n v="151.34"/>
    <n v="1816.08"/>
    <x v="1"/>
    <s v="2024"/>
    <x v="1"/>
  </r>
  <r>
    <s v="ORD-10082"/>
    <x v="164"/>
    <x v="0"/>
    <x v="4"/>
    <x v="9"/>
    <n v="20"/>
    <n v="18.16"/>
    <n v="363.2"/>
    <x v="3"/>
    <s v="2024"/>
    <x v="1"/>
  </r>
  <r>
    <s v="ORD-10474"/>
    <x v="134"/>
    <x v="3"/>
    <x v="2"/>
    <x v="8"/>
    <n v="14"/>
    <n v="80.72"/>
    <n v="1130.08"/>
    <x v="3"/>
    <s v="2024"/>
    <x v="1"/>
  </r>
  <r>
    <s v="ORD-10145"/>
    <x v="165"/>
    <x v="4"/>
    <x v="0"/>
    <x v="25"/>
    <n v="2"/>
    <n v="245.8"/>
    <n v="491.6"/>
    <x v="1"/>
    <s v="2024"/>
    <x v="1"/>
  </r>
  <r>
    <s v="ORD-10254"/>
    <x v="82"/>
    <x v="0"/>
    <x v="4"/>
    <x v="9"/>
    <n v="18"/>
    <n v="20.63"/>
    <n v="371.34"/>
    <x v="8"/>
    <s v="2024"/>
    <x v="0"/>
  </r>
  <r>
    <s v="ORD-10038"/>
    <x v="166"/>
    <x v="3"/>
    <x v="3"/>
    <x v="19"/>
    <n v="4"/>
    <n v="200.47"/>
    <n v="801.88"/>
    <x v="1"/>
    <s v="2024"/>
    <x v="1"/>
  </r>
  <r>
    <s v="ORD-10307"/>
    <x v="86"/>
    <x v="2"/>
    <x v="4"/>
    <x v="17"/>
    <n v="6"/>
    <n v="16.350000000000001"/>
    <n v="98.100000000000009"/>
    <x v="9"/>
    <s v="2024"/>
    <x v="3"/>
  </r>
  <r>
    <s v="ORD-10240"/>
    <x v="114"/>
    <x v="3"/>
    <x v="2"/>
    <x v="15"/>
    <n v="5"/>
    <n v="122.73"/>
    <n v="613.65"/>
    <x v="2"/>
    <s v="2024"/>
    <x v="2"/>
  </r>
  <r>
    <s v="ORD-10111"/>
    <x v="167"/>
    <x v="0"/>
    <x v="2"/>
    <x v="14"/>
    <n v="8"/>
    <n v="1298.6199999999999"/>
    <n v="10388.959999999999"/>
    <x v="0"/>
    <s v="2024"/>
    <x v="0"/>
  </r>
  <r>
    <s v="ORD-10314"/>
    <x v="168"/>
    <x v="1"/>
    <x v="4"/>
    <x v="10"/>
    <n v="15"/>
    <n v="27.4"/>
    <n v="411"/>
    <x v="6"/>
    <s v="2024"/>
    <x v="0"/>
  </r>
  <r>
    <s v="ORD-10233"/>
    <x v="102"/>
    <x v="4"/>
    <x v="1"/>
    <x v="1"/>
    <n v="18"/>
    <n v="87.45"/>
    <n v="1574.1000000000001"/>
    <x v="11"/>
    <s v="2024"/>
    <x v="2"/>
  </r>
  <r>
    <s v="ORD-10412"/>
    <x v="79"/>
    <x v="2"/>
    <x v="2"/>
    <x v="20"/>
    <n v="13"/>
    <n v="45.56"/>
    <n v="592.28"/>
    <x v="1"/>
    <s v="2024"/>
    <x v="1"/>
  </r>
  <r>
    <s v="ORD-10380"/>
    <x v="90"/>
    <x v="3"/>
    <x v="4"/>
    <x v="9"/>
    <n v="8"/>
    <n v="18.690000000000001"/>
    <n v="149.52000000000001"/>
    <x v="6"/>
    <s v="2024"/>
    <x v="0"/>
  </r>
  <r>
    <s v="ORD-10282"/>
    <x v="140"/>
    <x v="2"/>
    <x v="0"/>
    <x v="22"/>
    <n v="6"/>
    <n v="48.93"/>
    <n v="293.58"/>
    <x v="4"/>
    <s v="2024"/>
    <x v="3"/>
  </r>
  <r>
    <s v="ORD-10373"/>
    <x v="169"/>
    <x v="1"/>
    <x v="2"/>
    <x v="15"/>
    <n v="13"/>
    <n v="132.80000000000001"/>
    <n v="1726.4"/>
    <x v="6"/>
    <s v="2024"/>
    <x v="0"/>
  </r>
  <r>
    <s v="ORD-10356"/>
    <x v="170"/>
    <x v="2"/>
    <x v="3"/>
    <x v="16"/>
    <n v="16"/>
    <n v="63.65"/>
    <n v="1018.4"/>
    <x v="0"/>
    <s v="2024"/>
    <x v="0"/>
  </r>
  <r>
    <s v="ORD-10253"/>
    <x v="60"/>
    <x v="0"/>
    <x v="2"/>
    <x v="14"/>
    <n v="3"/>
    <n v="1202.7"/>
    <n v="3608.1000000000004"/>
    <x v="4"/>
    <s v="2024"/>
    <x v="3"/>
  </r>
  <r>
    <s v="ORD-10432"/>
    <x v="171"/>
    <x v="3"/>
    <x v="2"/>
    <x v="2"/>
    <n v="20"/>
    <n v="239.16"/>
    <n v="4783.2"/>
    <x v="1"/>
    <s v="2024"/>
    <x v="1"/>
  </r>
  <r>
    <s v="ORD-10052"/>
    <x v="172"/>
    <x v="0"/>
    <x v="1"/>
    <x v="3"/>
    <n v="15"/>
    <n v="28.68"/>
    <n v="430.2"/>
    <x v="3"/>
    <s v="2024"/>
    <x v="1"/>
  </r>
  <r>
    <s v="ORD-10410"/>
    <x v="173"/>
    <x v="2"/>
    <x v="1"/>
    <x v="12"/>
    <n v="9"/>
    <n v="67.069999999999993"/>
    <n v="603.62999999999988"/>
    <x v="6"/>
    <s v="2024"/>
    <x v="0"/>
  </r>
  <r>
    <s v="ORD-10347"/>
    <x v="174"/>
    <x v="1"/>
    <x v="2"/>
    <x v="5"/>
    <n v="4"/>
    <n v="85.69"/>
    <n v="342.76"/>
    <x v="8"/>
    <s v="2024"/>
    <x v="0"/>
  </r>
  <r>
    <s v="ORD-10425"/>
    <x v="15"/>
    <x v="4"/>
    <x v="0"/>
    <x v="13"/>
    <n v="20"/>
    <n v="171.75"/>
    <n v="3435"/>
    <x v="7"/>
    <s v="2024"/>
    <x v="3"/>
  </r>
  <r>
    <s v="ORD-10036"/>
    <x v="175"/>
    <x v="2"/>
    <x v="2"/>
    <x v="2"/>
    <n v="7"/>
    <n v="262.02999999999997"/>
    <n v="1834.2099999999998"/>
    <x v="0"/>
    <s v="2024"/>
    <x v="0"/>
  </r>
  <r>
    <s v="ORD-10442"/>
    <x v="176"/>
    <x v="2"/>
    <x v="0"/>
    <x v="22"/>
    <n v="19"/>
    <n v="47.83"/>
    <n v="908.77"/>
    <x v="8"/>
    <s v="2024"/>
    <x v="0"/>
  </r>
  <r>
    <s v="ORD-10053"/>
    <x v="177"/>
    <x v="3"/>
    <x v="3"/>
    <x v="7"/>
    <n v="3"/>
    <n v="157.5"/>
    <n v="472.5"/>
    <x v="5"/>
    <s v="2024"/>
    <x v="1"/>
  </r>
  <r>
    <s v="ORD-10421"/>
    <x v="129"/>
    <x v="1"/>
    <x v="0"/>
    <x v="0"/>
    <n v="16"/>
    <n v="132.96"/>
    <n v="2127.36"/>
    <x v="7"/>
    <s v="2024"/>
    <x v="3"/>
  </r>
  <r>
    <s v="ORD-10230"/>
    <x v="178"/>
    <x v="0"/>
    <x v="1"/>
    <x v="12"/>
    <n v="13"/>
    <n v="67.45"/>
    <n v="876.85"/>
    <x v="9"/>
    <s v="2024"/>
    <x v="3"/>
  </r>
  <r>
    <s v="ORD-10169"/>
    <x v="157"/>
    <x v="1"/>
    <x v="1"/>
    <x v="1"/>
    <n v="10"/>
    <n v="88.84"/>
    <n v="888.40000000000009"/>
    <x v="9"/>
    <s v="2024"/>
    <x v="3"/>
  </r>
  <r>
    <s v="ORD-10515"/>
    <x v="58"/>
    <x v="3"/>
    <x v="0"/>
    <x v="0"/>
    <n v="7"/>
    <n v="136.08000000000001"/>
    <n v="952.56000000000006"/>
    <x v="10"/>
    <s v="2024"/>
    <x v="2"/>
  </r>
  <r>
    <s v="ORD-10219"/>
    <x v="113"/>
    <x v="0"/>
    <x v="2"/>
    <x v="20"/>
    <n v="5"/>
    <n v="46.21"/>
    <n v="231.05"/>
    <x v="4"/>
    <s v="2024"/>
    <x v="3"/>
  </r>
  <r>
    <s v="ORD-10124"/>
    <x v="179"/>
    <x v="2"/>
    <x v="3"/>
    <x v="19"/>
    <n v="16"/>
    <n v="191.05"/>
    <n v="3056.8"/>
    <x v="0"/>
    <s v="2024"/>
    <x v="0"/>
  </r>
  <r>
    <s v="ORD-10484"/>
    <x v="170"/>
    <x v="0"/>
    <x v="0"/>
    <x v="22"/>
    <n v="13"/>
    <n v="52.79"/>
    <n v="686.27"/>
    <x v="0"/>
    <s v="2024"/>
    <x v="0"/>
  </r>
  <r>
    <s v="ORD-10460"/>
    <x v="180"/>
    <x v="3"/>
    <x v="4"/>
    <x v="9"/>
    <n v="3"/>
    <n v="20.399999999999999"/>
    <n v="61.199999999999996"/>
    <x v="11"/>
    <s v="2024"/>
    <x v="2"/>
  </r>
  <r>
    <s v="ORD-10468"/>
    <x v="181"/>
    <x v="0"/>
    <x v="0"/>
    <x v="13"/>
    <n v="16"/>
    <n v="173.17"/>
    <n v="2770.72"/>
    <x v="9"/>
    <s v="2024"/>
    <x v="3"/>
  </r>
  <r>
    <s v="ORD-10045"/>
    <x v="104"/>
    <x v="3"/>
    <x v="0"/>
    <x v="22"/>
    <n v="10"/>
    <n v="49.53"/>
    <n v="495.3"/>
    <x v="1"/>
    <s v="2024"/>
    <x v="1"/>
  </r>
  <r>
    <s v="ORD-10071"/>
    <x v="168"/>
    <x v="4"/>
    <x v="1"/>
    <x v="12"/>
    <n v="4"/>
    <n v="73.239999999999995"/>
    <n v="292.95999999999998"/>
    <x v="6"/>
    <s v="2024"/>
    <x v="0"/>
  </r>
  <r>
    <s v="ORD-10286"/>
    <x v="117"/>
    <x v="0"/>
    <x v="3"/>
    <x v="23"/>
    <n v="18"/>
    <n v="301.89"/>
    <n v="5434.0199999999995"/>
    <x v="10"/>
    <s v="2024"/>
    <x v="2"/>
  </r>
  <r>
    <s v="ORD-10175"/>
    <x v="182"/>
    <x v="3"/>
    <x v="0"/>
    <x v="6"/>
    <n v="16"/>
    <n v="17.64"/>
    <n v="282.24"/>
    <x v="9"/>
    <s v="2024"/>
    <x v="3"/>
  </r>
  <r>
    <s v="ORD-10078"/>
    <x v="152"/>
    <x v="3"/>
    <x v="3"/>
    <x v="23"/>
    <n v="6"/>
    <n v="294.81"/>
    <n v="1768.8600000000001"/>
    <x v="6"/>
    <s v="2024"/>
    <x v="0"/>
  </r>
  <r>
    <s v="ORD-10116"/>
    <x v="152"/>
    <x v="1"/>
    <x v="1"/>
    <x v="4"/>
    <n v="11"/>
    <n v="585.32000000000005"/>
    <n v="6438.52"/>
    <x v="6"/>
    <s v="2024"/>
    <x v="0"/>
  </r>
  <r>
    <s v="ORD-10144"/>
    <x v="183"/>
    <x v="3"/>
    <x v="3"/>
    <x v="11"/>
    <n v="16"/>
    <n v="101.5"/>
    <n v="1624"/>
    <x v="3"/>
    <s v="2024"/>
    <x v="1"/>
  </r>
  <r>
    <s v="ORD-10016"/>
    <x v="175"/>
    <x v="3"/>
    <x v="2"/>
    <x v="5"/>
    <n v="19"/>
    <n v="97.19"/>
    <n v="1846.61"/>
    <x v="0"/>
    <s v="2024"/>
    <x v="0"/>
  </r>
  <r>
    <s v="ORD-10313"/>
    <x v="131"/>
    <x v="3"/>
    <x v="0"/>
    <x v="25"/>
    <n v="14"/>
    <n v="254.93"/>
    <n v="3569.02"/>
    <x v="10"/>
    <s v="2024"/>
    <x v="2"/>
  </r>
  <r>
    <s v="ORD-10507"/>
    <x v="184"/>
    <x v="1"/>
    <x v="3"/>
    <x v="11"/>
    <n v="16"/>
    <n v="96.87"/>
    <n v="1549.92"/>
    <x v="9"/>
    <s v="2024"/>
    <x v="3"/>
  </r>
  <r>
    <s v="ORD-10032"/>
    <x v="42"/>
    <x v="1"/>
    <x v="3"/>
    <x v="23"/>
    <n v="5"/>
    <n v="295.91000000000003"/>
    <n v="1479.5500000000002"/>
    <x v="11"/>
    <s v="2024"/>
    <x v="2"/>
  </r>
  <r>
    <s v="ORD-10514"/>
    <x v="155"/>
    <x v="1"/>
    <x v="3"/>
    <x v="11"/>
    <n v="2"/>
    <n v="104.95"/>
    <n v="209.9"/>
    <x v="11"/>
    <s v="2024"/>
    <x v="2"/>
  </r>
  <r>
    <s v="ORD-10476"/>
    <x v="5"/>
    <x v="2"/>
    <x v="0"/>
    <x v="6"/>
    <n v="6"/>
    <n v="18.579999999999998"/>
    <n v="111.47999999999999"/>
    <x v="0"/>
    <s v="2024"/>
    <x v="0"/>
  </r>
  <r>
    <s v="ORD-10121"/>
    <x v="185"/>
    <x v="4"/>
    <x v="2"/>
    <x v="2"/>
    <n v="20"/>
    <n v="242.09"/>
    <n v="4841.8"/>
    <x v="9"/>
    <s v="2024"/>
    <x v="3"/>
  </r>
  <r>
    <s v="ORD-10155"/>
    <x v="130"/>
    <x v="4"/>
    <x v="4"/>
    <x v="10"/>
    <n v="18"/>
    <n v="27.25"/>
    <n v="490.5"/>
    <x v="8"/>
    <s v="2024"/>
    <x v="0"/>
  </r>
  <r>
    <s v="ORD-10182"/>
    <x v="186"/>
    <x v="2"/>
    <x v="1"/>
    <x v="1"/>
    <n v="9"/>
    <n v="86.22"/>
    <n v="775.98"/>
    <x v="10"/>
    <s v="2024"/>
    <x v="2"/>
  </r>
  <r>
    <s v="ORD-10181"/>
    <x v="187"/>
    <x v="3"/>
    <x v="3"/>
    <x v="19"/>
    <n v="6"/>
    <n v="198.68"/>
    <n v="1192.08"/>
    <x v="4"/>
    <s v="2024"/>
    <x v="3"/>
  </r>
  <r>
    <s v="ORD-10178"/>
    <x v="83"/>
    <x v="1"/>
    <x v="3"/>
    <x v="7"/>
    <n v="18"/>
    <n v="144.44999999999999"/>
    <n v="2600.1"/>
    <x v="3"/>
    <s v="2024"/>
    <x v="1"/>
  </r>
  <r>
    <s v="ORD-10511"/>
    <x v="188"/>
    <x v="1"/>
    <x v="2"/>
    <x v="14"/>
    <n v="5"/>
    <n v="1171.18"/>
    <n v="5855.9000000000005"/>
    <x v="10"/>
    <s v="2024"/>
    <x v="2"/>
  </r>
  <r>
    <s v="ORD-10081"/>
    <x v="91"/>
    <x v="2"/>
    <x v="0"/>
    <x v="22"/>
    <n v="10"/>
    <n v="49.78"/>
    <n v="497.8"/>
    <x v="2"/>
    <s v="2024"/>
    <x v="2"/>
  </r>
  <r>
    <s v="ORD-10490"/>
    <x v="164"/>
    <x v="2"/>
    <x v="0"/>
    <x v="0"/>
    <n v="5"/>
    <n v="152.26"/>
    <n v="761.3"/>
    <x v="3"/>
    <s v="2024"/>
    <x v="1"/>
  </r>
  <r>
    <s v="ORD-10251"/>
    <x v="189"/>
    <x v="4"/>
    <x v="2"/>
    <x v="2"/>
    <n v="5"/>
    <n v="250.74"/>
    <n v="1253.7"/>
    <x v="8"/>
    <s v="2024"/>
    <x v="0"/>
  </r>
  <r>
    <s v="ORD-10171"/>
    <x v="155"/>
    <x v="4"/>
    <x v="4"/>
    <x v="10"/>
    <n v="17"/>
    <n v="26.75"/>
    <n v="454.75"/>
    <x v="11"/>
    <s v="2024"/>
    <x v="2"/>
  </r>
  <r>
    <s v="ORD-10436"/>
    <x v="177"/>
    <x v="4"/>
    <x v="2"/>
    <x v="14"/>
    <n v="17"/>
    <n v="1252.6500000000001"/>
    <n v="21295.050000000003"/>
    <x v="5"/>
    <s v="2024"/>
    <x v="1"/>
  </r>
  <r>
    <s v="ORD-10513"/>
    <x v="152"/>
    <x v="0"/>
    <x v="2"/>
    <x v="20"/>
    <n v="2"/>
    <n v="45.19"/>
    <n v="90.38"/>
    <x v="6"/>
    <s v="2024"/>
    <x v="0"/>
  </r>
  <r>
    <s v="ORD-10390"/>
    <x v="190"/>
    <x v="0"/>
    <x v="4"/>
    <x v="21"/>
    <n v="9"/>
    <n v="63.45"/>
    <n v="571.05000000000007"/>
    <x v="10"/>
    <s v="2024"/>
    <x v="2"/>
  </r>
  <r>
    <s v="ORD-10021"/>
    <x v="97"/>
    <x v="3"/>
    <x v="4"/>
    <x v="21"/>
    <n v="7"/>
    <n v="56.88"/>
    <n v="398.16"/>
    <x v="9"/>
    <s v="2024"/>
    <x v="3"/>
  </r>
  <r>
    <s v="ORD-10342"/>
    <x v="163"/>
    <x v="0"/>
    <x v="2"/>
    <x v="20"/>
    <n v="6"/>
    <n v="46.85"/>
    <n v="281.10000000000002"/>
    <x v="5"/>
    <s v="2024"/>
    <x v="1"/>
  </r>
  <r>
    <s v="ORD-10394"/>
    <x v="134"/>
    <x v="1"/>
    <x v="1"/>
    <x v="12"/>
    <n v="17"/>
    <n v="70.959999999999994"/>
    <n v="1206.32"/>
    <x v="3"/>
    <s v="2024"/>
    <x v="1"/>
  </r>
  <r>
    <s v="ORD-10235"/>
    <x v="191"/>
    <x v="2"/>
    <x v="4"/>
    <x v="21"/>
    <n v="18"/>
    <n v="61.79"/>
    <n v="1112.22"/>
    <x v="0"/>
    <s v="2024"/>
    <x v="0"/>
  </r>
  <r>
    <s v="ORD-10409"/>
    <x v="183"/>
    <x v="0"/>
    <x v="0"/>
    <x v="6"/>
    <n v="14"/>
    <n v="19.28"/>
    <n v="269.92"/>
    <x v="3"/>
    <s v="2024"/>
    <x v="1"/>
  </r>
  <r>
    <s v="ORD-10473"/>
    <x v="192"/>
    <x v="2"/>
    <x v="4"/>
    <x v="24"/>
    <n v="9"/>
    <n v="22.52"/>
    <n v="202.68"/>
    <x v="5"/>
    <s v="2024"/>
    <x v="1"/>
  </r>
  <r>
    <s v="ORD-10096"/>
    <x v="115"/>
    <x v="1"/>
    <x v="4"/>
    <x v="9"/>
    <n v="11"/>
    <n v="20.48"/>
    <n v="225.28"/>
    <x v="0"/>
    <s v="2024"/>
    <x v="0"/>
  </r>
  <r>
    <s v="ORD-10506"/>
    <x v="64"/>
    <x v="2"/>
    <x v="4"/>
    <x v="17"/>
    <n v="1"/>
    <n v="15.8"/>
    <n v="15.8"/>
    <x v="5"/>
    <s v="2024"/>
    <x v="1"/>
  </r>
  <r>
    <s v="ORD-10273"/>
    <x v="105"/>
    <x v="2"/>
    <x v="0"/>
    <x v="22"/>
    <n v="3"/>
    <n v="51.49"/>
    <n v="154.47"/>
    <x v="1"/>
    <s v="2024"/>
    <x v="1"/>
  </r>
  <r>
    <s v="ORD-10249"/>
    <x v="109"/>
    <x v="1"/>
    <x v="0"/>
    <x v="22"/>
    <n v="13"/>
    <n v="53.67"/>
    <n v="697.71"/>
    <x v="0"/>
    <s v="2024"/>
    <x v="0"/>
  </r>
  <r>
    <s v="ORD-10162"/>
    <x v="183"/>
    <x v="0"/>
    <x v="1"/>
    <x v="18"/>
    <n v="17"/>
    <n v="437.38"/>
    <n v="7435.46"/>
    <x v="3"/>
    <s v="2024"/>
    <x v="1"/>
  </r>
  <r>
    <s v="ORD-10051"/>
    <x v="160"/>
    <x v="1"/>
    <x v="0"/>
    <x v="22"/>
    <n v="11"/>
    <n v="53.53"/>
    <n v="588.83000000000004"/>
    <x v="9"/>
    <s v="2024"/>
    <x v="3"/>
  </r>
  <r>
    <s v="ORD-10261"/>
    <x v="71"/>
    <x v="0"/>
    <x v="1"/>
    <x v="12"/>
    <n v="8"/>
    <n v="68.17"/>
    <n v="545.36"/>
    <x v="7"/>
    <s v="2024"/>
    <x v="3"/>
  </r>
  <r>
    <s v="ORD-10195"/>
    <x v="193"/>
    <x v="1"/>
    <x v="3"/>
    <x v="11"/>
    <n v="11"/>
    <n v="101.58"/>
    <n v="1117.3799999999999"/>
    <x v="7"/>
    <s v="2024"/>
    <x v="3"/>
  </r>
  <r>
    <s v="ORD-10119"/>
    <x v="89"/>
    <x v="1"/>
    <x v="0"/>
    <x v="13"/>
    <n v="15"/>
    <n v="183.58"/>
    <n v="2753.7000000000003"/>
    <x v="7"/>
    <s v="2024"/>
    <x v="3"/>
  </r>
  <r>
    <s v="ORD-10150"/>
    <x v="194"/>
    <x v="3"/>
    <x v="1"/>
    <x v="4"/>
    <n v="5"/>
    <n v="527.9"/>
    <n v="2639.5"/>
    <x v="4"/>
    <s v="2024"/>
    <x v="3"/>
  </r>
  <r>
    <s v="ORD-10481"/>
    <x v="158"/>
    <x v="4"/>
    <x v="4"/>
    <x v="10"/>
    <n v="9"/>
    <n v="25.1"/>
    <n v="225.9"/>
    <x v="5"/>
    <s v="2024"/>
    <x v="1"/>
  </r>
  <r>
    <s v="ORD-10056"/>
    <x v="32"/>
    <x v="1"/>
    <x v="0"/>
    <x v="22"/>
    <n v="8"/>
    <n v="50.14"/>
    <n v="401.12"/>
    <x v="9"/>
    <s v="2024"/>
    <x v="3"/>
  </r>
  <r>
    <s v="ORD-10185"/>
    <x v="195"/>
    <x v="0"/>
    <x v="1"/>
    <x v="3"/>
    <n v="10"/>
    <n v="29.52"/>
    <n v="295.2"/>
    <x v="0"/>
    <s v="2024"/>
    <x v="0"/>
  </r>
  <r>
    <s v="ORD-10494"/>
    <x v="129"/>
    <x v="3"/>
    <x v="4"/>
    <x v="24"/>
    <n v="14"/>
    <n v="22.2"/>
    <n v="310.8"/>
    <x v="7"/>
    <s v="2024"/>
    <x v="3"/>
  </r>
  <r>
    <s v="ORD-10199"/>
    <x v="124"/>
    <x v="3"/>
    <x v="4"/>
    <x v="24"/>
    <n v="20"/>
    <n v="23.94"/>
    <n v="478.8"/>
    <x v="1"/>
    <s v="2024"/>
    <x v="1"/>
  </r>
  <r>
    <s v="ORD-10035"/>
    <x v="42"/>
    <x v="4"/>
    <x v="2"/>
    <x v="15"/>
    <n v="5"/>
    <n v="133.11000000000001"/>
    <n v="665.55000000000007"/>
    <x v="11"/>
    <s v="2024"/>
    <x v="2"/>
  </r>
  <r>
    <s v="ORD-10005"/>
    <x v="196"/>
    <x v="1"/>
    <x v="2"/>
    <x v="20"/>
    <n v="3"/>
    <n v="46.48"/>
    <n v="139.44"/>
    <x v="9"/>
    <s v="2024"/>
    <x v="3"/>
  </r>
  <r>
    <s v="ORD-10353"/>
    <x v="197"/>
    <x v="1"/>
    <x v="0"/>
    <x v="22"/>
    <n v="4"/>
    <n v="53.35"/>
    <n v="213.4"/>
    <x v="2"/>
    <s v="2024"/>
    <x v="2"/>
  </r>
  <r>
    <s v="ORD-10139"/>
    <x v="64"/>
    <x v="3"/>
    <x v="1"/>
    <x v="18"/>
    <n v="5"/>
    <n v="394.37"/>
    <n v="1971.85"/>
    <x v="5"/>
    <s v="2024"/>
    <x v="1"/>
  </r>
  <r>
    <s v="ORD-10317"/>
    <x v="133"/>
    <x v="3"/>
    <x v="4"/>
    <x v="21"/>
    <n v="11"/>
    <n v="59.65"/>
    <n v="656.15"/>
    <x v="10"/>
    <s v="2024"/>
    <x v="2"/>
  </r>
  <r>
    <s v="ORD-10359"/>
    <x v="198"/>
    <x v="4"/>
    <x v="1"/>
    <x v="4"/>
    <n v="7"/>
    <n v="590.48"/>
    <n v="4133.3600000000006"/>
    <x v="3"/>
    <s v="2024"/>
    <x v="1"/>
  </r>
  <r>
    <s v="ORD-10146"/>
    <x v="48"/>
    <x v="2"/>
    <x v="4"/>
    <x v="21"/>
    <n v="11"/>
    <n v="62.06"/>
    <n v="682.66000000000008"/>
    <x v="7"/>
    <s v="2024"/>
    <x v="3"/>
  </r>
  <r>
    <s v="ORD-10031"/>
    <x v="199"/>
    <x v="2"/>
    <x v="3"/>
    <x v="19"/>
    <n v="15"/>
    <n v="213.94"/>
    <n v="3209.1"/>
    <x v="8"/>
    <s v="2024"/>
    <x v="0"/>
  </r>
  <r>
    <s v="ORD-10088"/>
    <x v="31"/>
    <x v="0"/>
    <x v="2"/>
    <x v="14"/>
    <n v="20"/>
    <n v="1282.81"/>
    <n v="25656.199999999997"/>
    <x v="1"/>
    <s v="2024"/>
    <x v="1"/>
  </r>
  <r>
    <s v="ORD-10131"/>
    <x v="200"/>
    <x v="1"/>
    <x v="2"/>
    <x v="14"/>
    <n v="5"/>
    <n v="1167.3599999999999"/>
    <n v="5836.7999999999993"/>
    <x v="3"/>
    <s v="2024"/>
    <x v="1"/>
  </r>
  <r>
    <s v="ORD-10361"/>
    <x v="94"/>
    <x v="0"/>
    <x v="0"/>
    <x v="22"/>
    <n v="12"/>
    <n v="49.08"/>
    <n v="588.96"/>
    <x v="2"/>
    <s v="2024"/>
    <x v="2"/>
  </r>
  <r>
    <s v="ORD-10510"/>
    <x v="201"/>
    <x v="0"/>
    <x v="1"/>
    <x v="1"/>
    <n v="16"/>
    <n v="94.77"/>
    <n v="1516.32"/>
    <x v="3"/>
    <s v="2024"/>
    <x v="1"/>
  </r>
  <r>
    <s v="ORD-10193"/>
    <x v="193"/>
    <x v="2"/>
    <x v="3"/>
    <x v="11"/>
    <n v="12"/>
    <n v="105.26"/>
    <n v="1263.1200000000001"/>
    <x v="7"/>
    <s v="2024"/>
    <x v="3"/>
  </r>
  <r>
    <s v="ORD-10010"/>
    <x v="171"/>
    <x v="0"/>
    <x v="4"/>
    <x v="21"/>
    <n v="5"/>
    <n v="58.39"/>
    <n v="291.95"/>
    <x v="1"/>
    <s v="2024"/>
    <x v="1"/>
  </r>
  <r>
    <s v="ORD-10073"/>
    <x v="50"/>
    <x v="1"/>
    <x v="1"/>
    <x v="12"/>
    <n v="2"/>
    <n v="75.63"/>
    <n v="151.26"/>
    <x v="1"/>
    <s v="2024"/>
    <x v="1"/>
  </r>
  <r>
    <s v="ORD-10319"/>
    <x v="27"/>
    <x v="3"/>
    <x v="3"/>
    <x v="7"/>
    <n v="17"/>
    <n v="142.63999999999999"/>
    <n v="2424.8799999999997"/>
    <x v="10"/>
    <s v="2024"/>
    <x v="2"/>
  </r>
  <r>
    <s v="ORD-10477"/>
    <x v="18"/>
    <x v="0"/>
    <x v="1"/>
    <x v="3"/>
    <n v="12"/>
    <n v="29.14"/>
    <n v="349.68"/>
    <x v="4"/>
    <s v="2024"/>
    <x v="3"/>
  </r>
  <r>
    <s v="ORD-10133"/>
    <x v="111"/>
    <x v="0"/>
    <x v="0"/>
    <x v="6"/>
    <n v="2"/>
    <n v="17.7"/>
    <n v="35.4"/>
    <x v="3"/>
    <s v="2024"/>
    <x v="1"/>
  </r>
  <r>
    <s v="ORD-10268"/>
    <x v="202"/>
    <x v="4"/>
    <x v="2"/>
    <x v="2"/>
    <n v="4"/>
    <n v="261.83999999999997"/>
    <n v="1047.3599999999999"/>
    <x v="1"/>
    <s v="2024"/>
    <x v="1"/>
  </r>
  <r>
    <s v="ORD-10280"/>
    <x v="203"/>
    <x v="0"/>
    <x v="3"/>
    <x v="16"/>
    <n v="3"/>
    <n v="59.94"/>
    <n v="179.82"/>
    <x v="11"/>
    <s v="2024"/>
    <x v="2"/>
  </r>
  <r>
    <s v="ORD-10105"/>
    <x v="87"/>
    <x v="3"/>
    <x v="2"/>
    <x v="15"/>
    <n v="2"/>
    <n v="128.53"/>
    <n v="257.06"/>
    <x v="1"/>
    <s v="2024"/>
    <x v="1"/>
  </r>
  <r>
    <s v="ORD-10109"/>
    <x v="105"/>
    <x v="2"/>
    <x v="0"/>
    <x v="0"/>
    <n v="12"/>
    <n v="134.31"/>
    <n v="1611.72"/>
    <x v="1"/>
    <s v="2024"/>
    <x v="1"/>
  </r>
  <r>
    <s v="ORD-10276"/>
    <x v="42"/>
    <x v="0"/>
    <x v="1"/>
    <x v="4"/>
    <n v="13"/>
    <n v="600.91999999999996"/>
    <n v="7811.9599999999991"/>
    <x v="11"/>
    <s v="2024"/>
    <x v="2"/>
  </r>
  <r>
    <s v="ORD-10170"/>
    <x v="204"/>
    <x v="3"/>
    <x v="4"/>
    <x v="10"/>
    <n v="15"/>
    <n v="23.91"/>
    <n v="358.65"/>
    <x v="9"/>
    <s v="2024"/>
    <x v="3"/>
  </r>
  <r>
    <s v="ORD-10012"/>
    <x v="36"/>
    <x v="0"/>
    <x v="0"/>
    <x v="13"/>
    <n v="13"/>
    <n v="180.3"/>
    <n v="2343.9"/>
    <x v="1"/>
    <s v="2024"/>
    <x v="1"/>
  </r>
  <r>
    <s v="ORD-10242"/>
    <x v="205"/>
    <x v="4"/>
    <x v="0"/>
    <x v="0"/>
    <n v="6"/>
    <n v="134.28"/>
    <n v="805.68000000000006"/>
    <x v="8"/>
    <s v="2024"/>
    <x v="0"/>
  </r>
  <r>
    <s v="ORD-10231"/>
    <x v="206"/>
    <x v="0"/>
    <x v="2"/>
    <x v="8"/>
    <n v="14"/>
    <n v="86.52"/>
    <n v="1211.28"/>
    <x v="2"/>
    <s v="2024"/>
    <x v="2"/>
  </r>
  <r>
    <s v="ORD-10369"/>
    <x v="50"/>
    <x v="1"/>
    <x v="1"/>
    <x v="12"/>
    <n v="8"/>
    <n v="72.650000000000006"/>
    <n v="581.20000000000005"/>
    <x v="1"/>
    <s v="2024"/>
    <x v="1"/>
  </r>
  <r>
    <s v="ORD-10057"/>
    <x v="207"/>
    <x v="3"/>
    <x v="4"/>
    <x v="17"/>
    <n v="20"/>
    <n v="15.45"/>
    <n v="309"/>
    <x v="7"/>
    <s v="2024"/>
    <x v="3"/>
  </r>
  <r>
    <s v="ORD-10176"/>
    <x v="208"/>
    <x v="2"/>
    <x v="3"/>
    <x v="23"/>
    <n v="18"/>
    <n v="308.37"/>
    <n v="5550.66"/>
    <x v="10"/>
    <s v="2024"/>
    <x v="2"/>
  </r>
  <r>
    <s v="ORD-10008"/>
    <x v="209"/>
    <x v="1"/>
    <x v="1"/>
    <x v="4"/>
    <n v="15"/>
    <n v="552.79999999999995"/>
    <n v="8292"/>
    <x v="2"/>
    <s v="2024"/>
    <x v="2"/>
  </r>
  <r>
    <s v="ORD-10148"/>
    <x v="171"/>
    <x v="0"/>
    <x v="1"/>
    <x v="1"/>
    <n v="3"/>
    <n v="88.68"/>
    <n v="266.04000000000002"/>
    <x v="1"/>
    <s v="2024"/>
    <x v="1"/>
  </r>
  <r>
    <s v="ORD-10422"/>
    <x v="210"/>
    <x v="1"/>
    <x v="0"/>
    <x v="13"/>
    <n v="3"/>
    <n v="175.71"/>
    <n v="527.13"/>
    <x v="2"/>
    <s v="2024"/>
    <x v="2"/>
  </r>
  <r>
    <s v="ORD-10318"/>
    <x v="211"/>
    <x v="4"/>
    <x v="2"/>
    <x v="5"/>
    <n v="10"/>
    <n v="95.58"/>
    <n v="955.8"/>
    <x v="8"/>
    <s v="2024"/>
    <x v="0"/>
  </r>
  <r>
    <s v="ORD-10389"/>
    <x v="212"/>
    <x v="3"/>
    <x v="3"/>
    <x v="16"/>
    <n v="15"/>
    <n v="64.5"/>
    <n v="967.5"/>
    <x v="1"/>
    <s v="2024"/>
    <x v="1"/>
  </r>
  <r>
    <s v="ORD-10450"/>
    <x v="162"/>
    <x v="0"/>
    <x v="4"/>
    <x v="17"/>
    <n v="4"/>
    <n v="14.29"/>
    <n v="57.16"/>
    <x v="6"/>
    <s v="2024"/>
    <x v="0"/>
  </r>
  <r>
    <s v="ORD-10381"/>
    <x v="213"/>
    <x v="2"/>
    <x v="2"/>
    <x v="20"/>
    <n v="9"/>
    <n v="47.96"/>
    <n v="431.64"/>
    <x v="2"/>
    <s v="2024"/>
    <x v="2"/>
  </r>
  <r>
    <s v="ORD-10411"/>
    <x v="214"/>
    <x v="0"/>
    <x v="2"/>
    <x v="8"/>
    <n v="18"/>
    <n v="85.3"/>
    <n v="1535.3999999999999"/>
    <x v="7"/>
    <s v="2024"/>
    <x v="3"/>
  </r>
  <r>
    <s v="ORD-10080"/>
    <x v="177"/>
    <x v="1"/>
    <x v="1"/>
    <x v="3"/>
    <n v="4"/>
    <n v="29.92"/>
    <n v="119.68"/>
    <x v="5"/>
    <s v="2024"/>
    <x v="1"/>
  </r>
  <r>
    <s v="ORD-10192"/>
    <x v="46"/>
    <x v="0"/>
    <x v="0"/>
    <x v="0"/>
    <n v="18"/>
    <n v="137.88"/>
    <n v="2481.84"/>
    <x v="10"/>
    <s v="2024"/>
    <x v="2"/>
  </r>
  <r>
    <s v="ORD-10384"/>
    <x v="131"/>
    <x v="1"/>
    <x v="0"/>
    <x v="13"/>
    <n v="10"/>
    <n v="173.11"/>
    <n v="1731.1000000000001"/>
    <x v="10"/>
    <s v="2024"/>
    <x v="2"/>
  </r>
  <r>
    <s v="ORD-10103"/>
    <x v="215"/>
    <x v="2"/>
    <x v="2"/>
    <x v="15"/>
    <n v="13"/>
    <n v="127.86"/>
    <n v="1662.18"/>
    <x v="1"/>
    <s v="2024"/>
    <x v="1"/>
  </r>
  <r>
    <s v="ORD-10023"/>
    <x v="216"/>
    <x v="2"/>
    <x v="4"/>
    <x v="17"/>
    <n v="3"/>
    <n v="15.25"/>
    <n v="45.75"/>
    <x v="6"/>
    <s v="2024"/>
    <x v="0"/>
  </r>
  <r>
    <s v="ORD-10226"/>
    <x v="41"/>
    <x v="3"/>
    <x v="2"/>
    <x v="20"/>
    <n v="15"/>
    <n v="44.33"/>
    <n v="664.94999999999993"/>
    <x v="11"/>
    <s v="2024"/>
    <x v="2"/>
  </r>
  <r>
    <s v="ORD-10075"/>
    <x v="217"/>
    <x v="4"/>
    <x v="2"/>
    <x v="20"/>
    <n v="16"/>
    <n v="43.25"/>
    <n v="692"/>
    <x v="4"/>
    <s v="2024"/>
    <x v="3"/>
  </r>
  <r>
    <s v="ORD-10320"/>
    <x v="218"/>
    <x v="1"/>
    <x v="0"/>
    <x v="25"/>
    <n v="4"/>
    <n v="253.81"/>
    <n v="1015.24"/>
    <x v="9"/>
    <s v="2024"/>
    <x v="3"/>
  </r>
  <r>
    <s v="ORD-10227"/>
    <x v="63"/>
    <x v="3"/>
    <x v="0"/>
    <x v="6"/>
    <n v="19"/>
    <n v="18.71"/>
    <n v="355.49"/>
    <x v="8"/>
    <s v="2024"/>
    <x v="0"/>
  </r>
  <r>
    <s v="ORD-10180"/>
    <x v="219"/>
    <x v="3"/>
    <x v="0"/>
    <x v="22"/>
    <n v="6"/>
    <n v="52.19"/>
    <n v="313.14"/>
    <x v="0"/>
    <s v="2024"/>
    <x v="0"/>
  </r>
  <r>
    <s v="ORD-10087"/>
    <x v="187"/>
    <x v="2"/>
    <x v="0"/>
    <x v="0"/>
    <n v="15"/>
    <n v="147.9"/>
    <n v="2218.5"/>
    <x v="4"/>
    <s v="2024"/>
    <x v="3"/>
  </r>
  <r>
    <s v="ORD-10449"/>
    <x v="206"/>
    <x v="1"/>
    <x v="1"/>
    <x v="1"/>
    <n v="17"/>
    <n v="88.08"/>
    <n v="1497.36"/>
    <x v="2"/>
    <s v="2024"/>
    <x v="2"/>
  </r>
  <r>
    <s v="ORD-10013"/>
    <x v="220"/>
    <x v="4"/>
    <x v="0"/>
    <x v="6"/>
    <n v="11"/>
    <n v="17.399999999999999"/>
    <n v="191.39999999999998"/>
    <x v="11"/>
    <s v="2024"/>
    <x v="2"/>
  </r>
  <r>
    <s v="ORD-10336"/>
    <x v="221"/>
    <x v="1"/>
    <x v="4"/>
    <x v="24"/>
    <n v="2"/>
    <n v="21.5"/>
    <n v="43"/>
    <x v="11"/>
    <s v="2024"/>
    <x v="2"/>
  </r>
  <r>
    <s v="ORD-10431"/>
    <x v="153"/>
    <x v="4"/>
    <x v="3"/>
    <x v="23"/>
    <n v="9"/>
    <n v="288.45"/>
    <n v="2596.0499999999997"/>
    <x v="3"/>
    <s v="2024"/>
    <x v="1"/>
  </r>
  <r>
    <s v="ORD-10177"/>
    <x v="55"/>
    <x v="3"/>
    <x v="3"/>
    <x v="11"/>
    <n v="8"/>
    <n v="95.85"/>
    <n v="766.8"/>
    <x v="5"/>
    <s v="2024"/>
    <x v="1"/>
  </r>
  <r>
    <s v="ORD-10165"/>
    <x v="81"/>
    <x v="0"/>
    <x v="4"/>
    <x v="17"/>
    <n v="5"/>
    <n v="14.39"/>
    <n v="71.95"/>
    <x v="1"/>
    <s v="2024"/>
    <x v="1"/>
  </r>
  <r>
    <s v="ORD-10098"/>
    <x v="147"/>
    <x v="4"/>
    <x v="4"/>
    <x v="17"/>
    <n v="10"/>
    <n v="16.28"/>
    <n v="162.80000000000001"/>
    <x v="10"/>
    <s v="2024"/>
    <x v="2"/>
  </r>
  <r>
    <s v="ORD-10469"/>
    <x v="162"/>
    <x v="2"/>
    <x v="4"/>
    <x v="10"/>
    <n v="17"/>
    <n v="25.76"/>
    <n v="437.92"/>
    <x v="6"/>
    <s v="2024"/>
    <x v="0"/>
  </r>
  <r>
    <s v="ORD-10188"/>
    <x v="222"/>
    <x v="0"/>
    <x v="1"/>
    <x v="4"/>
    <n v="11"/>
    <n v="598.44000000000005"/>
    <n v="6582.84"/>
    <x v="5"/>
    <s v="2024"/>
    <x v="1"/>
  </r>
  <r>
    <s v="ORD-10217"/>
    <x v="223"/>
    <x v="1"/>
    <x v="4"/>
    <x v="24"/>
    <n v="12"/>
    <n v="21.16"/>
    <n v="253.92000000000002"/>
    <x v="10"/>
    <s v="2024"/>
    <x v="2"/>
  </r>
  <r>
    <s v="ORD-10212"/>
    <x v="204"/>
    <x v="1"/>
    <x v="3"/>
    <x v="23"/>
    <n v="13"/>
    <n v="314.07"/>
    <n v="4082.91"/>
    <x v="9"/>
    <s v="2024"/>
    <x v="3"/>
  </r>
  <r>
    <s v="ORD-10344"/>
    <x v="224"/>
    <x v="2"/>
    <x v="2"/>
    <x v="20"/>
    <n v="3"/>
    <n v="44.74"/>
    <n v="134.22"/>
    <x v="11"/>
    <s v="2024"/>
    <x v="2"/>
  </r>
  <r>
    <s v="ORD-10058"/>
    <x v="225"/>
    <x v="3"/>
    <x v="4"/>
    <x v="17"/>
    <n v="2"/>
    <n v="14.84"/>
    <n v="29.68"/>
    <x v="9"/>
    <s v="2024"/>
    <x v="3"/>
  </r>
  <r>
    <s v="ORD-10046"/>
    <x v="120"/>
    <x v="2"/>
    <x v="4"/>
    <x v="21"/>
    <n v="15"/>
    <n v="62.03"/>
    <n v="930.45"/>
    <x v="5"/>
    <s v="2024"/>
    <x v="1"/>
  </r>
  <r>
    <s v="ORD-10430"/>
    <x v="226"/>
    <x v="3"/>
    <x v="2"/>
    <x v="5"/>
    <n v="19"/>
    <n v="95.93"/>
    <n v="1822.67"/>
    <x v="8"/>
    <s v="2024"/>
    <x v="0"/>
  </r>
  <r>
    <s v="ORD-10351"/>
    <x v="69"/>
    <x v="3"/>
    <x v="0"/>
    <x v="6"/>
    <n v="11"/>
    <n v="19.559999999999999"/>
    <n v="215.16"/>
    <x v="5"/>
    <s v="2024"/>
    <x v="1"/>
  </r>
  <r>
    <s v="ORD-10166"/>
    <x v="173"/>
    <x v="4"/>
    <x v="3"/>
    <x v="16"/>
    <n v="17"/>
    <n v="59.57"/>
    <n v="1012.69"/>
    <x v="6"/>
    <s v="2024"/>
    <x v="0"/>
  </r>
  <r>
    <s v="ORD-10221"/>
    <x v="227"/>
    <x v="0"/>
    <x v="2"/>
    <x v="2"/>
    <n v="14"/>
    <n v="243.27"/>
    <n v="3405.78"/>
    <x v="10"/>
    <s v="2024"/>
    <x v="2"/>
  </r>
  <r>
    <s v="ORD-10137"/>
    <x v="196"/>
    <x v="2"/>
    <x v="2"/>
    <x v="20"/>
    <n v="4"/>
    <n v="44.39"/>
    <n v="177.56"/>
    <x v="9"/>
    <s v="2024"/>
    <x v="3"/>
  </r>
  <r>
    <s v="ORD-10125"/>
    <x v="228"/>
    <x v="1"/>
    <x v="2"/>
    <x v="8"/>
    <n v="18"/>
    <n v="81.709999999999994"/>
    <n v="1470.78"/>
    <x v="2"/>
    <s v="2024"/>
    <x v="2"/>
  </r>
  <r>
    <s v="ORD-10127"/>
    <x v="229"/>
    <x v="2"/>
    <x v="0"/>
    <x v="6"/>
    <n v="4"/>
    <n v="19.16"/>
    <n v="76.64"/>
    <x v="10"/>
    <s v="2024"/>
    <x v="2"/>
  </r>
  <r>
    <s v="ORD-10448"/>
    <x v="30"/>
    <x v="2"/>
    <x v="2"/>
    <x v="5"/>
    <n v="15"/>
    <n v="92.65"/>
    <n v="1389.75"/>
    <x v="1"/>
    <s v="2024"/>
    <x v="1"/>
  </r>
  <r>
    <s v="ORD-10316"/>
    <x v="193"/>
    <x v="2"/>
    <x v="3"/>
    <x v="7"/>
    <n v="9"/>
    <n v="146.77000000000001"/>
    <n v="1320.93"/>
    <x v="7"/>
    <s v="2024"/>
    <x v="3"/>
  </r>
  <r>
    <s v="ORD-10101"/>
    <x v="230"/>
    <x v="2"/>
    <x v="0"/>
    <x v="25"/>
    <n v="3"/>
    <n v="253.05"/>
    <n v="759.15000000000009"/>
    <x v="9"/>
    <s v="2024"/>
    <x v="3"/>
  </r>
  <r>
    <s v="ORD-10417"/>
    <x v="4"/>
    <x v="1"/>
    <x v="3"/>
    <x v="23"/>
    <n v="11"/>
    <n v="307.61"/>
    <n v="3383.71"/>
    <x v="3"/>
    <s v="2024"/>
    <x v="1"/>
  </r>
  <r>
    <s v="ORD-10334"/>
    <x v="195"/>
    <x v="2"/>
    <x v="1"/>
    <x v="4"/>
    <n v="14"/>
    <n v="586.76"/>
    <n v="8214.64"/>
    <x v="0"/>
    <s v="2024"/>
    <x v="0"/>
  </r>
  <r>
    <s v="ORD-10203"/>
    <x v="104"/>
    <x v="1"/>
    <x v="4"/>
    <x v="21"/>
    <n v="12"/>
    <n v="64.5"/>
    <n v="774"/>
    <x v="1"/>
    <s v="2024"/>
    <x v="1"/>
  </r>
  <r>
    <s v="ORD-10491"/>
    <x v="231"/>
    <x v="1"/>
    <x v="4"/>
    <x v="24"/>
    <n v="18"/>
    <n v="21.92"/>
    <n v="394.56000000000006"/>
    <x v="5"/>
    <s v="2024"/>
    <x v="1"/>
  </r>
  <r>
    <s v="ORD-10102"/>
    <x v="130"/>
    <x v="0"/>
    <x v="3"/>
    <x v="19"/>
    <n v="13"/>
    <n v="214.52"/>
    <n v="2788.76"/>
    <x v="8"/>
    <s v="2024"/>
    <x v="0"/>
  </r>
  <r>
    <s v="ORD-10287"/>
    <x v="232"/>
    <x v="2"/>
    <x v="0"/>
    <x v="22"/>
    <n v="5"/>
    <n v="50.71"/>
    <n v="253.55"/>
    <x v="8"/>
    <s v="2024"/>
    <x v="0"/>
  </r>
  <r>
    <s v="ORD-10247"/>
    <x v="152"/>
    <x v="1"/>
    <x v="1"/>
    <x v="3"/>
    <n v="3"/>
    <n v="28.85"/>
    <n v="86.550000000000011"/>
    <x v="6"/>
    <s v="2024"/>
    <x v="0"/>
  </r>
  <r>
    <s v="ORD-10070"/>
    <x v="97"/>
    <x v="1"/>
    <x v="0"/>
    <x v="6"/>
    <n v="14"/>
    <n v="19.79"/>
    <n v="277.06"/>
    <x v="9"/>
    <s v="2024"/>
    <x v="3"/>
  </r>
  <r>
    <s v="ORD-10391"/>
    <x v="210"/>
    <x v="4"/>
    <x v="1"/>
    <x v="18"/>
    <n v="6"/>
    <n v="385.26"/>
    <n v="2311.56"/>
    <x v="2"/>
    <s v="2024"/>
    <x v="2"/>
  </r>
  <r>
    <s v="ORD-10067"/>
    <x v="160"/>
    <x v="1"/>
    <x v="0"/>
    <x v="0"/>
    <n v="11"/>
    <n v="132.65"/>
    <n v="1459.15"/>
    <x v="9"/>
    <s v="2024"/>
    <x v="3"/>
  </r>
  <r>
    <s v="ORD-10440"/>
    <x v="40"/>
    <x v="2"/>
    <x v="2"/>
    <x v="5"/>
    <n v="16"/>
    <n v="87.64"/>
    <n v="1402.24"/>
    <x v="4"/>
    <s v="2024"/>
    <x v="3"/>
  </r>
  <r>
    <s v="ORD-10397"/>
    <x v="233"/>
    <x v="4"/>
    <x v="4"/>
    <x v="21"/>
    <n v="19"/>
    <n v="60.02"/>
    <n v="1140.3800000000001"/>
    <x v="6"/>
    <s v="2024"/>
    <x v="0"/>
  </r>
  <r>
    <s v="ORD-10466"/>
    <x v="66"/>
    <x v="4"/>
    <x v="3"/>
    <x v="19"/>
    <n v="14"/>
    <n v="204.16"/>
    <n v="2858.24"/>
    <x v="3"/>
    <s v="2024"/>
    <x v="1"/>
  </r>
  <r>
    <s v="ORD-10257"/>
    <x v="192"/>
    <x v="0"/>
    <x v="3"/>
    <x v="7"/>
    <n v="11"/>
    <n v="151.16999999999999"/>
    <n v="1662.87"/>
    <x v="5"/>
    <s v="2024"/>
    <x v="1"/>
  </r>
  <r>
    <s v="ORD-10413"/>
    <x v="130"/>
    <x v="3"/>
    <x v="0"/>
    <x v="0"/>
    <n v="8"/>
    <n v="151.05000000000001"/>
    <n v="1208.4000000000001"/>
    <x v="8"/>
    <s v="2024"/>
    <x v="0"/>
  </r>
  <r>
    <s v="ORD-10044"/>
    <x v="108"/>
    <x v="1"/>
    <x v="3"/>
    <x v="7"/>
    <n v="11"/>
    <n v="150.54"/>
    <n v="1655.9399999999998"/>
    <x v="0"/>
    <s v="2024"/>
    <x v="0"/>
  </r>
  <r>
    <s v="ORD-10502"/>
    <x v="9"/>
    <x v="2"/>
    <x v="1"/>
    <x v="18"/>
    <n v="18"/>
    <n v="410.23"/>
    <n v="7384.14"/>
    <x v="0"/>
    <s v="2024"/>
    <x v="0"/>
  </r>
  <r>
    <s v="ORD-10281"/>
    <x v="93"/>
    <x v="2"/>
    <x v="0"/>
    <x v="0"/>
    <n v="6"/>
    <n v="144.9"/>
    <n v="869.40000000000009"/>
    <x v="3"/>
    <s v="2024"/>
    <x v="1"/>
  </r>
  <r>
    <s v="ORD-10437"/>
    <x v="234"/>
    <x v="1"/>
    <x v="3"/>
    <x v="11"/>
    <n v="18"/>
    <n v="101.06"/>
    <n v="1819.08"/>
    <x v="11"/>
    <s v="2024"/>
    <x v="2"/>
  </r>
  <r>
    <s v="ORD-10382"/>
    <x v="235"/>
    <x v="4"/>
    <x v="2"/>
    <x v="20"/>
    <n v="15"/>
    <n v="45.32"/>
    <n v="679.8"/>
    <x v="11"/>
    <s v="2024"/>
    <x v="2"/>
  </r>
  <r>
    <s v="ORD-10503"/>
    <x v="236"/>
    <x v="3"/>
    <x v="2"/>
    <x v="5"/>
    <n v="14"/>
    <n v="88.88"/>
    <n v="1244.32"/>
    <x v="1"/>
    <s v="2024"/>
    <x v="1"/>
  </r>
  <r>
    <s v="ORD-10244"/>
    <x v="223"/>
    <x v="4"/>
    <x v="2"/>
    <x v="20"/>
    <n v="13"/>
    <n v="45.3"/>
    <n v="588.9"/>
    <x v="10"/>
    <s v="2024"/>
    <x v="2"/>
  </r>
  <r>
    <s v="ORD-10043"/>
    <x v="237"/>
    <x v="3"/>
    <x v="3"/>
    <x v="7"/>
    <n v="3"/>
    <n v="162.76"/>
    <n v="488.28"/>
    <x v="1"/>
    <s v="2024"/>
    <x v="1"/>
  </r>
  <r>
    <s v="ORD-10173"/>
    <x v="11"/>
    <x v="0"/>
    <x v="3"/>
    <x v="16"/>
    <n v="15"/>
    <n v="62.8"/>
    <n v="942"/>
    <x v="1"/>
    <s v="2024"/>
    <x v="1"/>
  </r>
  <r>
    <s v="ORD-10068"/>
    <x v="109"/>
    <x v="2"/>
    <x v="0"/>
    <x v="6"/>
    <n v="18"/>
    <n v="17.13"/>
    <n v="308.33999999999997"/>
    <x v="0"/>
    <s v="2024"/>
    <x v="0"/>
  </r>
  <r>
    <s v="ORD-10076"/>
    <x v="167"/>
    <x v="4"/>
    <x v="1"/>
    <x v="18"/>
    <n v="18"/>
    <n v="424.8"/>
    <n v="7646.4000000000005"/>
    <x v="0"/>
    <s v="2024"/>
    <x v="0"/>
  </r>
  <r>
    <s v="ORD-10434"/>
    <x v="33"/>
    <x v="0"/>
    <x v="3"/>
    <x v="16"/>
    <n v="5"/>
    <n v="62.06"/>
    <n v="310.3"/>
    <x v="6"/>
    <s v="2024"/>
    <x v="0"/>
  </r>
  <r>
    <s v="ORD-10403"/>
    <x v="115"/>
    <x v="4"/>
    <x v="4"/>
    <x v="9"/>
    <n v="19"/>
    <n v="18.399999999999999"/>
    <n v="349.59999999999997"/>
    <x v="0"/>
    <s v="2024"/>
    <x v="0"/>
  </r>
  <r>
    <s v="ORD-10222"/>
    <x v="129"/>
    <x v="0"/>
    <x v="4"/>
    <x v="21"/>
    <n v="13"/>
    <n v="56.76"/>
    <n v="737.88"/>
    <x v="7"/>
    <s v="2024"/>
    <x v="3"/>
  </r>
  <r>
    <s v="ORD-10439"/>
    <x v="163"/>
    <x v="3"/>
    <x v="0"/>
    <x v="25"/>
    <n v="15"/>
    <n v="242.5"/>
    <n v="3637.5"/>
    <x v="5"/>
    <s v="2024"/>
    <x v="1"/>
  </r>
  <r>
    <s v="ORD-10047"/>
    <x v="87"/>
    <x v="4"/>
    <x v="3"/>
    <x v="11"/>
    <n v="20"/>
    <n v="99.03"/>
    <n v="1980.6"/>
    <x v="1"/>
    <s v="2024"/>
    <x v="1"/>
  </r>
  <r>
    <s v="ORD-10259"/>
    <x v="66"/>
    <x v="3"/>
    <x v="3"/>
    <x v="7"/>
    <n v="9"/>
    <n v="159.80000000000001"/>
    <n v="1438.2"/>
    <x v="3"/>
    <s v="2024"/>
    <x v="1"/>
  </r>
  <r>
    <s v="ORD-10295"/>
    <x v="225"/>
    <x v="2"/>
    <x v="1"/>
    <x v="4"/>
    <n v="9"/>
    <n v="574.63"/>
    <n v="5171.67"/>
    <x v="9"/>
    <s v="2024"/>
    <x v="3"/>
  </r>
  <r>
    <s v="ORD-10482"/>
    <x v="238"/>
    <x v="2"/>
    <x v="0"/>
    <x v="25"/>
    <n v="19"/>
    <n v="258.06"/>
    <n v="4903.1400000000003"/>
    <x v="2"/>
    <s v="2024"/>
    <x v="2"/>
  </r>
  <r>
    <s v="ORD-10386"/>
    <x v="233"/>
    <x v="4"/>
    <x v="2"/>
    <x v="15"/>
    <n v="3"/>
    <n v="140.1"/>
    <n v="420.29999999999995"/>
    <x v="6"/>
    <s v="2024"/>
    <x v="0"/>
  </r>
  <r>
    <s v="ORD-10229"/>
    <x v="11"/>
    <x v="0"/>
    <x v="0"/>
    <x v="0"/>
    <n v="2"/>
    <n v="152.32"/>
    <n v="304.64"/>
    <x v="1"/>
    <s v="2024"/>
    <x v="1"/>
  </r>
  <r>
    <s v="ORD-10202"/>
    <x v="239"/>
    <x v="3"/>
    <x v="4"/>
    <x v="10"/>
    <n v="16"/>
    <n v="25.06"/>
    <n v="400.96"/>
    <x v="8"/>
    <s v="2024"/>
    <x v="0"/>
  </r>
  <r>
    <s v="ORD-10478"/>
    <x v="240"/>
    <x v="3"/>
    <x v="2"/>
    <x v="15"/>
    <n v="9"/>
    <n v="138.11000000000001"/>
    <n v="1242.9900000000002"/>
    <x v="1"/>
    <s v="2024"/>
    <x v="1"/>
  </r>
  <r>
    <s v="ORD-10345"/>
    <x v="209"/>
    <x v="2"/>
    <x v="2"/>
    <x v="20"/>
    <n v="4"/>
    <n v="44.83"/>
    <n v="179.32"/>
    <x v="2"/>
    <s v="2024"/>
    <x v="2"/>
  </r>
  <r>
    <s v="ORD-10026"/>
    <x v="241"/>
    <x v="2"/>
    <x v="1"/>
    <x v="18"/>
    <n v="19"/>
    <n v="423.08"/>
    <n v="8038.5199999999995"/>
    <x v="6"/>
    <s v="2024"/>
    <x v="0"/>
  </r>
  <r>
    <s v="ORD-10079"/>
    <x v="17"/>
    <x v="2"/>
    <x v="2"/>
    <x v="5"/>
    <n v="10"/>
    <n v="93.99"/>
    <n v="939.9"/>
    <x v="9"/>
    <s v="2024"/>
    <x v="3"/>
  </r>
  <r>
    <s v="ORD-10114"/>
    <x v="64"/>
    <x v="2"/>
    <x v="2"/>
    <x v="20"/>
    <n v="9"/>
    <n v="44.03"/>
    <n v="396.27"/>
    <x v="5"/>
    <s v="2024"/>
    <x v="1"/>
  </r>
  <r>
    <s v="ORD-10358"/>
    <x v="52"/>
    <x v="2"/>
    <x v="2"/>
    <x v="8"/>
    <n v="6"/>
    <n v="75.83"/>
    <n v="454.98"/>
    <x v="4"/>
    <s v="2024"/>
    <x v="3"/>
  </r>
  <r>
    <s v="ORD-10258"/>
    <x v="242"/>
    <x v="3"/>
    <x v="4"/>
    <x v="10"/>
    <n v="6"/>
    <n v="27.37"/>
    <n v="164.22"/>
    <x v="5"/>
    <s v="2024"/>
    <x v="1"/>
  </r>
  <r>
    <s v="ORD-10168"/>
    <x v="243"/>
    <x v="2"/>
    <x v="1"/>
    <x v="3"/>
    <n v="16"/>
    <n v="29.15"/>
    <n v="466.4"/>
    <x v="7"/>
    <s v="2024"/>
    <x v="3"/>
  </r>
  <r>
    <s v="ORD-10077"/>
    <x v="244"/>
    <x v="0"/>
    <x v="3"/>
    <x v="11"/>
    <n v="14"/>
    <n v="98.58"/>
    <n v="1380.12"/>
    <x v="9"/>
    <s v="2024"/>
    <x v="3"/>
  </r>
  <r>
    <s v="ORD-10277"/>
    <x v="185"/>
    <x v="0"/>
    <x v="1"/>
    <x v="18"/>
    <n v="19"/>
    <n v="380.9"/>
    <n v="7237.0999999999995"/>
    <x v="9"/>
    <s v="2024"/>
    <x v="3"/>
  </r>
  <r>
    <s v="ORD-10164"/>
    <x v="219"/>
    <x v="3"/>
    <x v="2"/>
    <x v="8"/>
    <n v="11"/>
    <n v="76.63"/>
    <n v="842.93"/>
    <x v="0"/>
    <s v="2024"/>
    <x v="0"/>
  </r>
  <r>
    <s v="ORD-10022"/>
    <x v="224"/>
    <x v="4"/>
    <x v="2"/>
    <x v="20"/>
    <n v="11"/>
    <n v="48.15"/>
    <n v="529.65"/>
    <x v="11"/>
    <s v="2024"/>
    <x v="2"/>
  </r>
  <r>
    <s v="ORD-10269"/>
    <x v="245"/>
    <x v="2"/>
    <x v="0"/>
    <x v="0"/>
    <n v="15"/>
    <n v="136.88"/>
    <n v="2053.1999999999998"/>
    <x v="2"/>
    <s v="2024"/>
    <x v="2"/>
  </r>
  <r>
    <s v="ORD-10157"/>
    <x v="246"/>
    <x v="0"/>
    <x v="2"/>
    <x v="20"/>
    <n v="17"/>
    <n v="45.27"/>
    <n v="769.59"/>
    <x v="11"/>
    <s v="2024"/>
    <x v="2"/>
  </r>
  <r>
    <s v="ORD-10028"/>
    <x v="198"/>
    <x v="3"/>
    <x v="0"/>
    <x v="22"/>
    <n v="2"/>
    <n v="51.1"/>
    <n v="102.2"/>
    <x v="3"/>
    <s v="2024"/>
    <x v="1"/>
  </r>
  <r>
    <s v="ORD-10324"/>
    <x v="247"/>
    <x v="3"/>
    <x v="3"/>
    <x v="16"/>
    <n v="15"/>
    <n v="63.87"/>
    <n v="958.05"/>
    <x v="6"/>
    <s v="2024"/>
    <x v="0"/>
  </r>
  <r>
    <s v="ORD-10399"/>
    <x v="55"/>
    <x v="2"/>
    <x v="0"/>
    <x v="22"/>
    <n v="7"/>
    <n v="51.36"/>
    <n v="359.52"/>
    <x v="5"/>
    <s v="2024"/>
    <x v="1"/>
  </r>
  <r>
    <s v="ORD-10325"/>
    <x v="248"/>
    <x v="1"/>
    <x v="4"/>
    <x v="9"/>
    <n v="3"/>
    <n v="18.850000000000001"/>
    <n v="56.550000000000004"/>
    <x v="7"/>
    <s v="2024"/>
    <x v="3"/>
  </r>
  <r>
    <s v="ORD-10006"/>
    <x v="249"/>
    <x v="4"/>
    <x v="2"/>
    <x v="15"/>
    <n v="8"/>
    <n v="137.51"/>
    <n v="1100.08"/>
    <x v="1"/>
    <s v="2024"/>
    <x v="1"/>
  </r>
  <r>
    <s v="ORD-10309"/>
    <x v="105"/>
    <x v="4"/>
    <x v="1"/>
    <x v="4"/>
    <n v="17"/>
    <n v="602.37"/>
    <n v="10240.290000000001"/>
    <x v="1"/>
    <s v="2024"/>
    <x v="1"/>
  </r>
  <r>
    <s v="ORD-10435"/>
    <x v="73"/>
    <x v="1"/>
    <x v="2"/>
    <x v="5"/>
    <n v="20"/>
    <n v="85.64"/>
    <n v="1712.8"/>
    <x v="4"/>
    <s v="2024"/>
    <x v="3"/>
  </r>
  <r>
    <s v="ORD-10335"/>
    <x v="1"/>
    <x v="1"/>
    <x v="3"/>
    <x v="19"/>
    <n v="19"/>
    <n v="213.36"/>
    <n v="4053.84"/>
    <x v="1"/>
    <s v="2024"/>
    <x v="1"/>
  </r>
  <r>
    <s v="ORD-10383"/>
    <x v="158"/>
    <x v="4"/>
    <x v="3"/>
    <x v="7"/>
    <n v="4"/>
    <n v="156.36000000000001"/>
    <n v="625.44000000000005"/>
    <x v="5"/>
    <s v="2024"/>
    <x v="1"/>
  </r>
  <r>
    <s v="ORD-10471"/>
    <x v="241"/>
    <x v="0"/>
    <x v="1"/>
    <x v="4"/>
    <n v="8"/>
    <n v="593.41999999999996"/>
    <n v="4747.3599999999997"/>
    <x v="6"/>
    <s v="2024"/>
    <x v="0"/>
  </r>
  <r>
    <s v="ORD-10446"/>
    <x v="248"/>
    <x v="4"/>
    <x v="1"/>
    <x v="18"/>
    <n v="5"/>
    <n v="413.37"/>
    <n v="2066.85"/>
    <x v="7"/>
    <s v="2024"/>
    <x v="3"/>
  </r>
  <r>
    <s v="ORD-10062"/>
    <x v="9"/>
    <x v="4"/>
    <x v="0"/>
    <x v="13"/>
    <n v="10"/>
    <n v="185.51"/>
    <n v="1855.1"/>
    <x v="0"/>
    <s v="2024"/>
    <x v="0"/>
  </r>
  <r>
    <s v="ORD-10445"/>
    <x v="242"/>
    <x v="4"/>
    <x v="1"/>
    <x v="3"/>
    <n v="11"/>
    <n v="30.68"/>
    <n v="337.48"/>
    <x v="5"/>
    <s v="2024"/>
    <x v="1"/>
  </r>
  <r>
    <s v="ORD-10214"/>
    <x v="250"/>
    <x v="3"/>
    <x v="2"/>
    <x v="15"/>
    <n v="4"/>
    <n v="131.56"/>
    <n v="526.24"/>
    <x v="1"/>
    <s v="2024"/>
    <x v="1"/>
  </r>
  <r>
    <s v="ORD-10223"/>
    <x v="251"/>
    <x v="3"/>
    <x v="0"/>
    <x v="0"/>
    <n v="17"/>
    <n v="134.71"/>
    <n v="2290.0700000000002"/>
    <x v="2"/>
    <s v="2024"/>
    <x v="2"/>
  </r>
  <r>
    <s v="ORD-10419"/>
    <x v="252"/>
    <x v="1"/>
    <x v="4"/>
    <x v="24"/>
    <n v="1"/>
    <n v="21.28"/>
    <n v="21.28"/>
    <x v="5"/>
    <s v="2024"/>
    <x v="1"/>
  </r>
  <r>
    <s v="ORD-10451"/>
    <x v="120"/>
    <x v="4"/>
    <x v="1"/>
    <x v="3"/>
    <n v="20"/>
    <n v="30.16"/>
    <n v="603.20000000000005"/>
    <x v="5"/>
    <s v="2024"/>
    <x v="1"/>
  </r>
  <r>
    <s v="ORD-10179"/>
    <x v="19"/>
    <x v="1"/>
    <x v="4"/>
    <x v="21"/>
    <n v="19"/>
    <n v="56.7"/>
    <n v="1077.3"/>
    <x v="4"/>
    <s v="2024"/>
    <x v="3"/>
  </r>
  <r>
    <s v="ORD-10172"/>
    <x v="184"/>
    <x v="4"/>
    <x v="1"/>
    <x v="18"/>
    <n v="8"/>
    <n v="425.64"/>
    <n v="3405.12"/>
    <x v="9"/>
    <s v="2024"/>
    <x v="3"/>
  </r>
  <r>
    <s v="ORD-10395"/>
    <x v="28"/>
    <x v="0"/>
    <x v="1"/>
    <x v="1"/>
    <n v="20"/>
    <n v="85.28"/>
    <n v="1705.6"/>
    <x v="0"/>
    <s v="2024"/>
    <x v="0"/>
  </r>
  <r>
    <s v="ORD-10029"/>
    <x v="253"/>
    <x v="2"/>
    <x v="1"/>
    <x v="12"/>
    <n v="13"/>
    <n v="66.900000000000006"/>
    <n v="869.7"/>
    <x v="6"/>
    <s v="2024"/>
    <x v="0"/>
  </r>
  <r>
    <s v="ORD-10400"/>
    <x v="149"/>
    <x v="2"/>
    <x v="0"/>
    <x v="22"/>
    <n v="20"/>
    <n v="50.03"/>
    <n v="1000.6"/>
    <x v="9"/>
    <s v="2024"/>
    <x v="3"/>
  </r>
  <r>
    <s v="ORD-10041"/>
    <x v="211"/>
    <x v="4"/>
    <x v="2"/>
    <x v="8"/>
    <n v="14"/>
    <n v="79.150000000000006"/>
    <n v="1108.1000000000001"/>
    <x v="8"/>
    <s v="2024"/>
    <x v="0"/>
  </r>
  <r>
    <s v="ORD-10196"/>
    <x v="254"/>
    <x v="2"/>
    <x v="3"/>
    <x v="23"/>
    <n v="14"/>
    <n v="310.23"/>
    <n v="4343.22"/>
    <x v="11"/>
    <s v="2024"/>
    <x v="2"/>
  </r>
  <r>
    <s v="ORD-10486"/>
    <x v="244"/>
    <x v="0"/>
    <x v="1"/>
    <x v="4"/>
    <n v="1"/>
    <n v="531.85"/>
    <n v="531.85"/>
    <x v="9"/>
    <s v="2024"/>
    <x v="3"/>
  </r>
  <r>
    <s v="ORD-10414"/>
    <x v="242"/>
    <x v="3"/>
    <x v="1"/>
    <x v="12"/>
    <n v="15"/>
    <n v="67.39"/>
    <n v="1010.85"/>
    <x v="5"/>
    <s v="2024"/>
    <x v="1"/>
  </r>
  <r>
    <s v="ORD-10375"/>
    <x v="94"/>
    <x v="2"/>
    <x v="2"/>
    <x v="14"/>
    <n v="15"/>
    <n v="1188.24"/>
    <n v="17823.599999999999"/>
    <x v="2"/>
    <s v="2024"/>
    <x v="2"/>
  </r>
  <r>
    <s v="ORD-10020"/>
    <x v="127"/>
    <x v="4"/>
    <x v="0"/>
    <x v="25"/>
    <n v="9"/>
    <n v="261.54000000000002"/>
    <n v="2353.86"/>
    <x v="0"/>
    <s v="2024"/>
    <x v="0"/>
  </r>
  <r>
    <s v="ORD-10505"/>
    <x v="115"/>
    <x v="4"/>
    <x v="2"/>
    <x v="2"/>
    <n v="5"/>
    <n v="262.74"/>
    <n v="1313.7"/>
    <x v="0"/>
    <s v="2024"/>
    <x v="0"/>
  </r>
  <r>
    <s v="ORD-10329"/>
    <x v="100"/>
    <x v="3"/>
    <x v="0"/>
    <x v="0"/>
    <n v="12"/>
    <n v="151.55000000000001"/>
    <n v="1818.6000000000001"/>
    <x v="11"/>
    <s v="2024"/>
    <x v="2"/>
  </r>
  <r>
    <s v="ORD-10305"/>
    <x v="122"/>
    <x v="4"/>
    <x v="3"/>
    <x v="11"/>
    <n v="3"/>
    <n v="101.42"/>
    <n v="304.26"/>
    <x v="4"/>
    <s v="2024"/>
    <x v="3"/>
  </r>
  <r>
    <s v="ORD-10465"/>
    <x v="232"/>
    <x v="1"/>
    <x v="0"/>
    <x v="6"/>
    <n v="12"/>
    <n v="19.7"/>
    <n v="236.39999999999998"/>
    <x v="8"/>
    <s v="2024"/>
    <x v="0"/>
  </r>
  <r>
    <s v="ORD-10420"/>
    <x v="255"/>
    <x v="4"/>
    <x v="3"/>
    <x v="7"/>
    <n v="4"/>
    <n v="150.16999999999999"/>
    <n v="600.67999999999995"/>
    <x v="8"/>
    <s v="2024"/>
    <x v="0"/>
  </r>
  <r>
    <s v="ORD-10296"/>
    <x v="124"/>
    <x v="4"/>
    <x v="3"/>
    <x v="19"/>
    <n v="17"/>
    <n v="207.17"/>
    <n v="3521.89"/>
    <x v="1"/>
    <s v="2024"/>
    <x v="1"/>
  </r>
  <r>
    <s v="ORD-10360"/>
    <x v="176"/>
    <x v="2"/>
    <x v="4"/>
    <x v="24"/>
    <n v="13"/>
    <n v="23"/>
    <n v="299"/>
    <x v="8"/>
    <s v="2024"/>
    <x v="0"/>
  </r>
  <r>
    <s v="ORD-10354"/>
    <x v="219"/>
    <x v="0"/>
    <x v="3"/>
    <x v="7"/>
    <n v="16"/>
    <n v="154.33000000000001"/>
    <n v="2469.2800000000002"/>
    <x v="0"/>
    <s v="2024"/>
    <x v="0"/>
  </r>
  <r>
    <s v="ORD-10461"/>
    <x v="256"/>
    <x v="4"/>
    <x v="0"/>
    <x v="13"/>
    <n v="13"/>
    <n v="195.04"/>
    <n v="2535.52"/>
    <x v="7"/>
    <s v="2024"/>
    <x v="3"/>
  </r>
  <r>
    <s v="ORD-10423"/>
    <x v="154"/>
    <x v="1"/>
    <x v="4"/>
    <x v="9"/>
    <n v="5"/>
    <n v="18.12"/>
    <n v="90.600000000000009"/>
    <x v="6"/>
    <s v="2024"/>
    <x v="0"/>
  </r>
  <r>
    <s v="ORD-10250"/>
    <x v="257"/>
    <x v="2"/>
    <x v="0"/>
    <x v="0"/>
    <n v="14"/>
    <n v="135.91999999999999"/>
    <n v="1902.8799999999999"/>
    <x v="6"/>
    <s v="2024"/>
    <x v="0"/>
  </r>
  <r>
    <s v="ORD-10089"/>
    <x v="258"/>
    <x v="4"/>
    <x v="4"/>
    <x v="9"/>
    <n v="5"/>
    <n v="19.47"/>
    <n v="97.35"/>
    <x v="6"/>
    <s v="2024"/>
    <x v="0"/>
  </r>
  <r>
    <s v="ORD-10248"/>
    <x v="164"/>
    <x v="2"/>
    <x v="4"/>
    <x v="17"/>
    <n v="3"/>
    <n v="15.38"/>
    <n v="46.14"/>
    <x v="3"/>
    <s v="2024"/>
    <x v="1"/>
  </r>
  <r>
    <s v="ORD-10406"/>
    <x v="8"/>
    <x v="3"/>
    <x v="3"/>
    <x v="7"/>
    <n v="11"/>
    <n v="163.24"/>
    <n v="1795.64"/>
    <x v="5"/>
    <s v="2024"/>
    <x v="1"/>
  </r>
  <r>
    <s v="ORD-10167"/>
    <x v="205"/>
    <x v="2"/>
    <x v="2"/>
    <x v="15"/>
    <n v="11"/>
    <n v="127.84"/>
    <n v="1406.24"/>
    <x v="8"/>
    <s v="2024"/>
    <x v="0"/>
  </r>
  <r>
    <s v="ORD-10371"/>
    <x v="216"/>
    <x v="2"/>
    <x v="2"/>
    <x v="5"/>
    <n v="12"/>
    <n v="87.53"/>
    <n v="1050.3600000000001"/>
    <x v="6"/>
    <s v="2024"/>
    <x v="0"/>
  </r>
  <r>
    <s v="ORD-10040"/>
    <x v="259"/>
    <x v="1"/>
    <x v="4"/>
    <x v="24"/>
    <n v="11"/>
    <n v="24"/>
    <n v="264"/>
    <x v="0"/>
    <s v="2024"/>
    <x v="0"/>
  </r>
  <r>
    <s v="ORD-10512"/>
    <x v="39"/>
    <x v="0"/>
    <x v="4"/>
    <x v="24"/>
    <n v="20"/>
    <n v="23.21"/>
    <n v="464.20000000000005"/>
    <x v="5"/>
    <s v="2024"/>
    <x v="1"/>
  </r>
  <r>
    <s v="ORD-10112"/>
    <x v="164"/>
    <x v="0"/>
    <x v="0"/>
    <x v="25"/>
    <n v="14"/>
    <n v="261.01"/>
    <n v="3654.14"/>
    <x v="3"/>
    <s v="2024"/>
    <x v="1"/>
  </r>
  <r>
    <s v="ORD-10470"/>
    <x v="0"/>
    <x v="4"/>
    <x v="0"/>
    <x v="25"/>
    <n v="16"/>
    <n v="248.27"/>
    <n v="3972.32"/>
    <x v="0"/>
    <s v="2024"/>
    <x v="0"/>
  </r>
  <r>
    <s v="ORD-10292"/>
    <x v="260"/>
    <x v="4"/>
    <x v="2"/>
    <x v="14"/>
    <n v="11"/>
    <n v="1205.1600000000001"/>
    <n v="13256.76"/>
    <x v="7"/>
    <s v="2024"/>
    <x v="3"/>
  </r>
  <r>
    <s v="ORD-10205"/>
    <x v="222"/>
    <x v="1"/>
    <x v="1"/>
    <x v="4"/>
    <n v="2"/>
    <n v="576.71"/>
    <n v="1153.42"/>
    <x v="5"/>
    <s v="2024"/>
    <x v="1"/>
  </r>
  <r>
    <s v="ORD-10293"/>
    <x v="39"/>
    <x v="3"/>
    <x v="2"/>
    <x v="8"/>
    <n v="19"/>
    <n v="75.150000000000006"/>
    <n v="1427.8500000000001"/>
    <x v="5"/>
    <s v="2024"/>
    <x v="1"/>
  </r>
  <r>
    <s v="ORD-10048"/>
    <x v="261"/>
    <x v="3"/>
    <x v="2"/>
    <x v="14"/>
    <n v="8"/>
    <n v="1316.01"/>
    <n v="10528.08"/>
    <x v="6"/>
    <s v="2024"/>
    <x v="0"/>
  </r>
  <r>
    <s v="ORD-10154"/>
    <x v="183"/>
    <x v="0"/>
    <x v="4"/>
    <x v="10"/>
    <n v="13"/>
    <n v="25.64"/>
    <n v="333.32"/>
    <x v="3"/>
    <s v="2024"/>
    <x v="1"/>
  </r>
  <r>
    <s v="ORD-10416"/>
    <x v="262"/>
    <x v="4"/>
    <x v="1"/>
    <x v="12"/>
    <n v="20"/>
    <n v="66.08"/>
    <n v="1321.6"/>
    <x v="2"/>
    <s v="2024"/>
    <x v="2"/>
  </r>
  <r>
    <s v="ORD-10132"/>
    <x v="194"/>
    <x v="1"/>
    <x v="4"/>
    <x v="21"/>
    <n v="9"/>
    <n v="57.96"/>
    <n v="521.64"/>
    <x v="4"/>
    <s v="2024"/>
    <x v="3"/>
  </r>
  <r>
    <s v="ORD-10120"/>
    <x v="7"/>
    <x v="2"/>
    <x v="4"/>
    <x v="9"/>
    <n v="2"/>
    <n v="20.9"/>
    <n v="41.8"/>
    <x v="4"/>
    <s v="2024"/>
    <x v="3"/>
  </r>
  <r>
    <s v="ORD-10128"/>
    <x v="43"/>
    <x v="1"/>
    <x v="0"/>
    <x v="13"/>
    <n v="20"/>
    <n v="195"/>
    <n v="3900"/>
    <x v="5"/>
    <s v="2024"/>
    <x v="1"/>
  </r>
  <r>
    <s v="ORD-10299"/>
    <x v="254"/>
    <x v="1"/>
    <x v="2"/>
    <x v="14"/>
    <n v="9"/>
    <n v="1177.8499999999999"/>
    <n v="10600.65"/>
    <x v="11"/>
    <s v="2024"/>
    <x v="2"/>
  </r>
  <r>
    <s v="ORD-10456"/>
    <x v="171"/>
    <x v="3"/>
    <x v="3"/>
    <x v="7"/>
    <n v="12"/>
    <n v="143.93"/>
    <n v="1727.16"/>
    <x v="1"/>
    <s v="2024"/>
    <x v="1"/>
  </r>
  <r>
    <s v="ORD-10376"/>
    <x v="263"/>
    <x v="3"/>
    <x v="0"/>
    <x v="0"/>
    <n v="14"/>
    <n v="140.46"/>
    <n v="1966.44"/>
    <x v="10"/>
    <s v="2024"/>
    <x v="2"/>
  </r>
  <r>
    <s v="ORD-10272"/>
    <x v="44"/>
    <x v="2"/>
    <x v="0"/>
    <x v="0"/>
    <n v="20"/>
    <n v="140.22999999999999"/>
    <n v="2804.6"/>
    <x v="5"/>
    <s v="2024"/>
    <x v="1"/>
  </r>
  <r>
    <s v="ORD-10142"/>
    <x v="46"/>
    <x v="2"/>
    <x v="4"/>
    <x v="21"/>
    <n v="2"/>
    <n v="56.55"/>
    <n v="113.1"/>
    <x v="10"/>
    <s v="2024"/>
    <x v="2"/>
  </r>
  <r>
    <s v="ORD-10160"/>
    <x v="264"/>
    <x v="2"/>
    <x v="1"/>
    <x v="12"/>
    <n v="4"/>
    <n v="66.040000000000006"/>
    <n v="264.16000000000003"/>
    <x v="10"/>
    <s v="2024"/>
    <x v="2"/>
  </r>
  <r>
    <s v="ORD-10365"/>
    <x v="265"/>
    <x v="0"/>
    <x v="0"/>
    <x v="13"/>
    <n v="1"/>
    <n v="183.78"/>
    <n v="183.78"/>
    <x v="5"/>
    <s v="2024"/>
    <x v="1"/>
  </r>
  <r>
    <s v="ORD-10472"/>
    <x v="262"/>
    <x v="4"/>
    <x v="2"/>
    <x v="14"/>
    <n v="16"/>
    <n v="1249.45"/>
    <n v="19991.2"/>
    <x v="2"/>
    <s v="2024"/>
    <x v="2"/>
  </r>
  <r>
    <s v="ORD-10039"/>
    <x v="259"/>
    <x v="2"/>
    <x v="1"/>
    <x v="4"/>
    <n v="1"/>
    <n v="575.9"/>
    <n v="575.9"/>
    <x v="0"/>
    <s v="2024"/>
    <x v="0"/>
  </r>
  <r>
    <s v="ORD-10097"/>
    <x v="73"/>
    <x v="1"/>
    <x v="2"/>
    <x v="8"/>
    <n v="3"/>
    <n v="77.83"/>
    <n v="233.49"/>
    <x v="4"/>
    <s v="2024"/>
    <x v="3"/>
  </r>
  <r>
    <s v="ORD-10159"/>
    <x v="77"/>
    <x v="1"/>
    <x v="2"/>
    <x v="14"/>
    <n v="1"/>
    <n v="1185.08"/>
    <n v="1185.08"/>
    <x v="9"/>
    <s v="202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A78:B83"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showAll="0">
      <items count="6">
        <item x="1"/>
        <item x="2"/>
        <item x="4"/>
        <item x="3"/>
        <item x="0"/>
        <item t="default"/>
      </items>
    </pivotField>
    <pivotField showAll="0">
      <items count="6">
        <item x="4"/>
        <item x="2"/>
        <item x="0"/>
        <item x="1"/>
        <item x="3"/>
        <item t="default"/>
      </items>
    </pivotField>
    <pivotField showAll="0"/>
    <pivotField showAll="0"/>
    <pivotField showAll="0"/>
    <pivotField dataField="1" showAll="0"/>
    <pivotField showAll="0"/>
    <pivotField showAll="0"/>
    <pivotField axis="axisRow" showAll="0">
      <items count="5">
        <item x="2"/>
        <item x="0"/>
        <item x="3"/>
        <item x="1"/>
        <item t="default"/>
      </items>
    </pivotField>
  </pivotFields>
  <rowFields count="1">
    <field x="10"/>
  </rowFields>
  <rowItems count="5">
    <i>
      <x/>
    </i>
    <i>
      <x v="1"/>
    </i>
    <i>
      <x v="2"/>
    </i>
    <i>
      <x v="3"/>
    </i>
    <i t="grand">
      <x/>
    </i>
  </rowItems>
  <colItems count="1">
    <i/>
  </colItems>
  <dataFields count="1">
    <dataField name="Sum of Revenue" fld="7" baseField="0" baseItem="0" numFmtId="173"/>
  </dataFields>
  <formats count="3">
    <format dxfId="2">
      <pivotArea outline="0" collapsedLevelsAreSubtotals="1" fieldPosition="0"/>
    </format>
    <format dxfId="1">
      <pivotArea outline="0" collapsedLevelsAreSubtotals="1" fieldPosition="0"/>
    </format>
    <format dxfId="0">
      <pivotArea outline="0" collapsedLevelsAreSubtotals="1" fieldPosition="0"/>
    </format>
  </formats>
  <chartFormats count="2">
    <chartFormat chart="1" format="12" series="1">
      <pivotArea type="data" outline="0" fieldPosition="0">
        <references count="1">
          <reference field="4294967294" count="1" selected="0">
            <x v="0"/>
          </reference>
        </references>
      </pivotArea>
    </chartFormat>
    <chartFormat chart="1" format="13">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A19:B25"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showAll="0">
      <items count="6">
        <item x="1"/>
        <item x="2"/>
        <item x="4"/>
        <item x="3"/>
        <item x="0"/>
        <item t="default"/>
      </items>
    </pivotField>
    <pivotField axis="axisRow" showAll="0">
      <items count="6">
        <item x="4"/>
        <item x="2"/>
        <item x="0"/>
        <item x="1"/>
        <item x="3"/>
        <item t="default"/>
      </items>
    </pivotField>
    <pivotField showAll="0"/>
    <pivotField showAll="0"/>
    <pivotField showAll="0"/>
    <pivotField dataField="1" showAll="0"/>
    <pivotField showAll="0"/>
    <pivotField showAll="0"/>
    <pivotField showAll="0">
      <items count="5">
        <item x="2"/>
        <item x="0"/>
        <item x="3"/>
        <item x="1"/>
        <item t="default"/>
      </items>
    </pivotField>
  </pivotFields>
  <rowFields count="1">
    <field x="3"/>
  </rowFields>
  <rowItems count="6">
    <i>
      <x/>
    </i>
    <i>
      <x v="1"/>
    </i>
    <i>
      <x v="2"/>
    </i>
    <i>
      <x v="3"/>
    </i>
    <i>
      <x v="4"/>
    </i>
    <i t="grand">
      <x/>
    </i>
  </rowItems>
  <colItems count="1">
    <i/>
  </colItems>
  <dataFields count="1">
    <dataField name="Sum of Revenue" fld="7" baseField="0" baseItem="0" numFmtId="173"/>
  </dataFields>
  <formats count="3">
    <format dxfId="63">
      <pivotArea outline="0" collapsedLevelsAreSubtotals="1" fieldPosition="0"/>
    </format>
    <format dxfId="64">
      <pivotArea outline="0" collapsedLevelsAreSubtotals="1" fieldPosition="0"/>
    </format>
    <format dxfId="65">
      <pivotArea outline="0" collapsedLevelsAreSubtotals="1" fieldPosition="0"/>
    </format>
  </formats>
  <chartFormats count="1">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2">
  <location ref="A69:B75"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axis="axisRow" showAll="0">
      <items count="6">
        <item x="1"/>
        <item x="2"/>
        <item x="4"/>
        <item x="3"/>
        <item x="0"/>
        <item t="default"/>
      </items>
    </pivotField>
    <pivotField showAll="0">
      <items count="6">
        <item x="4"/>
        <item x="2"/>
        <item x="0"/>
        <item x="1"/>
        <item x="3"/>
        <item t="default"/>
      </items>
    </pivotField>
    <pivotField showAll="0"/>
    <pivotField showAll="0"/>
    <pivotField showAll="0"/>
    <pivotField dataField="1" showAll="0"/>
    <pivotField showAll="0"/>
    <pivotField showAll="0"/>
    <pivotField showAll="0">
      <items count="5">
        <item x="2"/>
        <item x="0"/>
        <item x="3"/>
        <item x="1"/>
        <item t="default"/>
      </items>
    </pivotField>
  </pivotFields>
  <rowFields count="1">
    <field x="2"/>
  </rowFields>
  <rowItems count="6">
    <i>
      <x/>
    </i>
    <i>
      <x v="1"/>
    </i>
    <i>
      <x v="2"/>
    </i>
    <i>
      <x v="3"/>
    </i>
    <i>
      <x v="4"/>
    </i>
    <i t="grand">
      <x/>
    </i>
  </rowItems>
  <colItems count="1">
    <i/>
  </colItems>
  <dataFields count="1">
    <dataField name="Sum of Revenue" fld="7" baseField="0" baseItem="0" numFmtId="173"/>
  </dataFields>
  <formats count="4">
    <format dxfId="66">
      <pivotArea outline="0" collapsedLevelsAreSubtotals="1" fieldPosition="0"/>
    </format>
    <format dxfId="67">
      <pivotArea outline="0" collapsedLevelsAreSubtotals="1" fieldPosition="0"/>
    </format>
    <format dxfId="68">
      <pivotArea outline="0" collapsedLevelsAreSubtotals="1" fieldPosition="0"/>
    </format>
    <format dxfId="69">
      <pivotArea outline="0" collapsedLevelsAreSubtotals="1" fieldPosition="0"/>
    </format>
  </formats>
  <chartFormats count="6">
    <chartFormat chart="1" format="7"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2" count="1" selected="0">
            <x v="0"/>
          </reference>
        </references>
      </pivotArea>
    </chartFormat>
    <chartFormat chart="1" format="9">
      <pivotArea type="data" outline="0" fieldPosition="0">
        <references count="2">
          <reference field="4294967294" count="1" selected="0">
            <x v="0"/>
          </reference>
          <reference field="2" count="1" selected="0">
            <x v="1"/>
          </reference>
        </references>
      </pivotArea>
    </chartFormat>
    <chartFormat chart="1" format="10">
      <pivotArea type="data" outline="0" fieldPosition="0">
        <references count="2">
          <reference field="4294967294" count="1" selected="0">
            <x v="0"/>
          </reference>
          <reference field="2" count="1" selected="0">
            <x v="2"/>
          </reference>
        </references>
      </pivotArea>
    </chartFormat>
    <chartFormat chart="1" format="11">
      <pivotArea type="data" outline="0" fieldPosition="0">
        <references count="2">
          <reference field="4294967294" count="1" selected="0">
            <x v="0"/>
          </reference>
          <reference field="2" count="1" selected="0">
            <x v="3"/>
          </reference>
        </references>
      </pivotArea>
    </chartFormat>
    <chartFormat chart="1"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A3:B16" firstHeaderRow="1" firstDataRow="1" firstDataCol="1"/>
  <pivotFields count="11">
    <pivotField showAll="0"/>
    <pivotField axis="axisRow" numFmtId="14" showAll="0">
      <items count="15">
        <item x="0"/>
        <item x="1"/>
        <item x="2"/>
        <item x="3"/>
        <item x="4"/>
        <item x="5"/>
        <item x="6"/>
        <item x="7"/>
        <item x="8"/>
        <item x="9"/>
        <item x="10"/>
        <item x="11"/>
        <item x="12"/>
        <item x="13"/>
        <item t="default"/>
      </items>
    </pivotField>
    <pivotField showAll="0">
      <items count="6">
        <item x="1"/>
        <item x="2"/>
        <item x="4"/>
        <item x="3"/>
        <item x="0"/>
        <item t="default"/>
      </items>
    </pivotField>
    <pivotField showAll="0">
      <items count="6">
        <item x="4"/>
        <item x="2"/>
        <item x="0"/>
        <item x="1"/>
        <item x="3"/>
        <item t="default"/>
      </items>
    </pivotField>
    <pivotField showAll="0"/>
    <pivotField showAll="0"/>
    <pivotField showAll="0"/>
    <pivotField dataField="1" showAll="0"/>
    <pivotField showAll="0">
      <items count="13">
        <item x="11"/>
        <item x="10"/>
        <item x="2"/>
        <item x="6"/>
        <item x="8"/>
        <item x="0"/>
        <item x="7"/>
        <item x="9"/>
        <item x="4"/>
        <item x="3"/>
        <item x="5"/>
        <item x="1"/>
        <item t="default"/>
      </items>
    </pivotField>
    <pivotField showAll="0"/>
    <pivotField showAll="0">
      <items count="5">
        <item x="2"/>
        <item x="0"/>
        <item x="3"/>
        <item x="1"/>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Revenue" fld="7" baseField="0" baseItem="0" numFmtId="170"/>
  </dataFields>
  <formats count="4">
    <format dxfId="70">
      <pivotArea outline="0" fieldPosition="0">
        <references count="1">
          <reference field="4294967294" count="1">
            <x v="0"/>
          </reference>
        </references>
      </pivotArea>
    </format>
    <format dxfId="71">
      <pivotArea outline="0" collapsedLevelsAreSubtotals="1" fieldPosition="0"/>
    </format>
    <format dxfId="72">
      <pivotArea outline="0" collapsedLevelsAreSubtotals="1" fieldPosition="0"/>
    </format>
    <format dxfId="73">
      <pivotArea outline="0" collapsedLevelsAreSubtotals="1" fieldPosition="0"/>
    </format>
  </formats>
  <chartFormats count="1">
    <chartFormat chart="5" format="6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location ref="A38:B49" firstHeaderRow="1" firstDataRow="1" firstDataCol="1"/>
  <pivotFields count="11">
    <pivotField showAll="0"/>
    <pivotField numFmtId="14" showAll="0">
      <items count="15">
        <item x="0"/>
        <item x="1"/>
        <item x="2"/>
        <item x="3"/>
        <item x="4"/>
        <item x="5"/>
        <item x="6"/>
        <item x="7"/>
        <item x="8"/>
        <item x="9"/>
        <item x="10"/>
        <item x="11"/>
        <item x="12"/>
        <item x="13"/>
        <item t="default"/>
      </items>
    </pivotField>
    <pivotField showAll="0">
      <items count="6">
        <item x="1"/>
        <item x="2"/>
        <item x="4"/>
        <item x="3"/>
        <item x="0"/>
        <item t="default"/>
      </items>
    </pivotField>
    <pivotField showAll="0">
      <items count="6">
        <item x="4"/>
        <item x="2"/>
        <item x="0"/>
        <item x="1"/>
        <item x="3"/>
        <item t="default"/>
      </items>
    </pivotField>
    <pivotField axis="axisRow" showAll="0" measureFilter="1">
      <items count="27">
        <item x="16"/>
        <item x="10"/>
        <item x="11"/>
        <item x="23"/>
        <item x="19"/>
        <item x="3"/>
        <item x="18"/>
        <item x="6"/>
        <item x="21"/>
        <item x="14"/>
        <item x="15"/>
        <item x="12"/>
        <item x="24"/>
        <item x="25"/>
        <item x="9"/>
        <item x="22"/>
        <item x="7"/>
        <item x="17"/>
        <item x="2"/>
        <item x="4"/>
        <item x="20"/>
        <item x="0"/>
        <item x="8"/>
        <item x="1"/>
        <item x="13"/>
        <item x="5"/>
        <item t="default"/>
      </items>
    </pivotField>
    <pivotField showAll="0"/>
    <pivotField showAll="0"/>
    <pivotField dataField="1" showAll="0"/>
    <pivotField showAll="0"/>
    <pivotField showAll="0"/>
    <pivotField showAll="0">
      <items count="5">
        <item x="2"/>
        <item x="0"/>
        <item x="3"/>
        <item x="1"/>
        <item t="default"/>
      </items>
    </pivotField>
  </pivotFields>
  <rowFields count="1">
    <field x="4"/>
  </rowFields>
  <rowItems count="11">
    <i>
      <x v="3"/>
    </i>
    <i>
      <x v="4"/>
    </i>
    <i>
      <x v="6"/>
    </i>
    <i>
      <x v="9"/>
    </i>
    <i>
      <x v="13"/>
    </i>
    <i>
      <x v="16"/>
    </i>
    <i>
      <x v="18"/>
    </i>
    <i>
      <x v="19"/>
    </i>
    <i>
      <x v="21"/>
    </i>
    <i>
      <x v="24"/>
    </i>
    <i t="grand">
      <x/>
    </i>
  </rowItems>
  <colItems count="1">
    <i/>
  </colItems>
  <dataFields count="1">
    <dataField name="Sum of Revenue" fld="7" baseField="0" baseItem="0"/>
  </dataFields>
  <formats count="56">
    <format dxfId="7">
      <pivotArea collapsedLevelsAreSubtotals="1" fieldPosition="0">
        <references count="1">
          <reference field="4" count="1">
            <x v="1"/>
          </reference>
        </references>
      </pivotArea>
    </format>
    <format dxfId="8">
      <pivotArea collapsedLevelsAreSubtotals="1" fieldPosition="0">
        <references count="1">
          <reference field="4" count="1">
            <x v="5"/>
          </reference>
        </references>
      </pivotArea>
    </format>
    <format dxfId="9">
      <pivotArea collapsedLevelsAreSubtotals="1" fieldPosition="0">
        <references count="1">
          <reference field="4" count="2">
            <x v="7"/>
            <x v="8"/>
          </reference>
        </references>
      </pivotArea>
    </format>
    <format dxfId="10">
      <pivotArea collapsedLevelsAreSubtotals="1" fieldPosition="0">
        <references count="1">
          <reference field="4" count="2">
            <x v="11"/>
            <x v="12"/>
          </reference>
        </references>
      </pivotArea>
    </format>
    <format dxfId="11">
      <pivotArea collapsedLevelsAreSubtotals="1" fieldPosition="0">
        <references count="1">
          <reference field="4" count="2">
            <x v="14"/>
            <x v="15"/>
          </reference>
        </references>
      </pivotArea>
    </format>
    <format dxfId="12">
      <pivotArea collapsedLevelsAreSubtotals="1" fieldPosition="0">
        <references count="1">
          <reference field="4" count="1">
            <x v="17"/>
          </reference>
        </references>
      </pivotArea>
    </format>
    <format dxfId="13">
      <pivotArea collapsedLevelsAreSubtotals="1" fieldPosition="0">
        <references count="1">
          <reference field="4" count="1">
            <x v="20"/>
          </reference>
        </references>
      </pivotArea>
    </format>
    <format dxfId="14">
      <pivotArea grandRow="1" outline="0" collapsedLevelsAreSubtotals="1" fieldPosition="0"/>
    </format>
    <format dxfId="15">
      <pivotArea collapsedLevelsAreSubtotals="1" fieldPosition="0">
        <references count="1">
          <reference field="4" count="1">
            <x v="1"/>
          </reference>
        </references>
      </pivotArea>
    </format>
    <format dxfId="16">
      <pivotArea collapsedLevelsAreSubtotals="1" fieldPosition="0">
        <references count="1">
          <reference field="4" count="1">
            <x v="5"/>
          </reference>
        </references>
      </pivotArea>
    </format>
    <format dxfId="17">
      <pivotArea collapsedLevelsAreSubtotals="1" fieldPosition="0">
        <references count="1">
          <reference field="4" count="2">
            <x v="7"/>
            <x v="8"/>
          </reference>
        </references>
      </pivotArea>
    </format>
    <format dxfId="18">
      <pivotArea collapsedLevelsAreSubtotals="1" fieldPosition="0">
        <references count="1">
          <reference field="4" count="2">
            <x v="11"/>
            <x v="12"/>
          </reference>
        </references>
      </pivotArea>
    </format>
    <format dxfId="19">
      <pivotArea collapsedLevelsAreSubtotals="1" fieldPosition="0">
        <references count="1">
          <reference field="4" count="2">
            <x v="14"/>
            <x v="15"/>
          </reference>
        </references>
      </pivotArea>
    </format>
    <format dxfId="20">
      <pivotArea collapsedLevelsAreSubtotals="1" fieldPosition="0">
        <references count="1">
          <reference field="4" count="1">
            <x v="17"/>
          </reference>
        </references>
      </pivotArea>
    </format>
    <format dxfId="21">
      <pivotArea collapsedLevelsAreSubtotals="1" fieldPosition="0">
        <references count="1">
          <reference field="4" count="1">
            <x v="20"/>
          </reference>
        </references>
      </pivotArea>
    </format>
    <format dxfId="22">
      <pivotArea grandRow="1" outline="0" collapsedLevelsAreSubtotals="1" fieldPosition="0"/>
    </format>
    <format dxfId="23">
      <pivotArea collapsedLevelsAreSubtotals="1" fieldPosition="0">
        <references count="1">
          <reference field="4" count="1">
            <x v="1"/>
          </reference>
        </references>
      </pivotArea>
    </format>
    <format dxfId="24">
      <pivotArea collapsedLevelsAreSubtotals="1" fieldPosition="0">
        <references count="1">
          <reference field="4" count="1">
            <x v="5"/>
          </reference>
        </references>
      </pivotArea>
    </format>
    <format dxfId="25">
      <pivotArea collapsedLevelsAreSubtotals="1" fieldPosition="0">
        <references count="1">
          <reference field="4" count="2">
            <x v="7"/>
            <x v="8"/>
          </reference>
        </references>
      </pivotArea>
    </format>
    <format dxfId="26">
      <pivotArea collapsedLevelsAreSubtotals="1" fieldPosition="0">
        <references count="1">
          <reference field="4" count="2">
            <x v="11"/>
            <x v="12"/>
          </reference>
        </references>
      </pivotArea>
    </format>
    <format dxfId="27">
      <pivotArea collapsedLevelsAreSubtotals="1" fieldPosition="0">
        <references count="1">
          <reference field="4" count="2">
            <x v="14"/>
            <x v="15"/>
          </reference>
        </references>
      </pivotArea>
    </format>
    <format dxfId="28">
      <pivotArea collapsedLevelsAreSubtotals="1" fieldPosition="0">
        <references count="1">
          <reference field="4" count="1">
            <x v="17"/>
          </reference>
        </references>
      </pivotArea>
    </format>
    <format dxfId="29">
      <pivotArea collapsedLevelsAreSubtotals="1" fieldPosition="0">
        <references count="1">
          <reference field="4" count="1">
            <x v="20"/>
          </reference>
        </references>
      </pivotArea>
    </format>
    <format dxfId="30">
      <pivotArea grandRow="1" outline="0" collapsedLevelsAreSubtotals="1" fieldPosition="0"/>
    </format>
    <format dxfId="31">
      <pivotArea collapsedLevelsAreSubtotals="1" fieldPosition="0">
        <references count="1">
          <reference field="4" count="1">
            <x v="1"/>
          </reference>
        </references>
      </pivotArea>
    </format>
    <format dxfId="32">
      <pivotArea collapsedLevelsAreSubtotals="1" fieldPosition="0">
        <references count="1">
          <reference field="4" count="1">
            <x v="5"/>
          </reference>
        </references>
      </pivotArea>
    </format>
    <format dxfId="33">
      <pivotArea collapsedLevelsAreSubtotals="1" fieldPosition="0">
        <references count="1">
          <reference field="4" count="2">
            <x v="7"/>
            <x v="8"/>
          </reference>
        </references>
      </pivotArea>
    </format>
    <format dxfId="34">
      <pivotArea collapsedLevelsAreSubtotals="1" fieldPosition="0">
        <references count="1">
          <reference field="4" count="2">
            <x v="11"/>
            <x v="12"/>
          </reference>
        </references>
      </pivotArea>
    </format>
    <format dxfId="35">
      <pivotArea collapsedLevelsAreSubtotals="1" fieldPosition="0">
        <references count="1">
          <reference field="4" count="2">
            <x v="14"/>
            <x v="15"/>
          </reference>
        </references>
      </pivotArea>
    </format>
    <format dxfId="36">
      <pivotArea collapsedLevelsAreSubtotals="1" fieldPosition="0">
        <references count="1">
          <reference field="4" count="1">
            <x v="17"/>
          </reference>
        </references>
      </pivotArea>
    </format>
    <format dxfId="37">
      <pivotArea collapsedLevelsAreSubtotals="1" fieldPosition="0">
        <references count="1">
          <reference field="4" count="1">
            <x v="20"/>
          </reference>
        </references>
      </pivotArea>
    </format>
    <format dxfId="38">
      <pivotArea grandRow="1" outline="0" collapsedLevelsAreSubtotals="1" fieldPosition="0"/>
    </format>
    <format dxfId="39">
      <pivotArea collapsedLevelsAreSubtotals="1" fieldPosition="0">
        <references count="1">
          <reference field="4" count="1">
            <x v="1"/>
          </reference>
        </references>
      </pivotArea>
    </format>
    <format dxfId="40">
      <pivotArea collapsedLevelsAreSubtotals="1" fieldPosition="0">
        <references count="1">
          <reference field="4" count="1">
            <x v="5"/>
          </reference>
        </references>
      </pivotArea>
    </format>
    <format dxfId="41">
      <pivotArea collapsedLevelsAreSubtotals="1" fieldPosition="0">
        <references count="1">
          <reference field="4" count="2">
            <x v="7"/>
            <x v="8"/>
          </reference>
        </references>
      </pivotArea>
    </format>
    <format dxfId="42">
      <pivotArea collapsedLevelsAreSubtotals="1" fieldPosition="0">
        <references count="1">
          <reference field="4" count="2">
            <x v="11"/>
            <x v="12"/>
          </reference>
        </references>
      </pivotArea>
    </format>
    <format dxfId="43">
      <pivotArea collapsedLevelsAreSubtotals="1" fieldPosition="0">
        <references count="1">
          <reference field="4" count="2">
            <x v="14"/>
            <x v="15"/>
          </reference>
        </references>
      </pivotArea>
    </format>
    <format dxfId="44">
      <pivotArea collapsedLevelsAreSubtotals="1" fieldPosition="0">
        <references count="1">
          <reference field="4" count="1">
            <x v="17"/>
          </reference>
        </references>
      </pivotArea>
    </format>
    <format dxfId="45">
      <pivotArea collapsedLevelsAreSubtotals="1" fieldPosition="0">
        <references count="1">
          <reference field="4" count="1">
            <x v="20"/>
          </reference>
        </references>
      </pivotArea>
    </format>
    <format dxfId="46">
      <pivotArea grandRow="1" outline="0" collapsedLevelsAreSubtotals="1" fieldPosition="0"/>
    </format>
    <format dxfId="47">
      <pivotArea collapsedLevelsAreSubtotals="1" fieldPosition="0">
        <references count="1">
          <reference field="4" count="1">
            <x v="1"/>
          </reference>
        </references>
      </pivotArea>
    </format>
    <format dxfId="48">
      <pivotArea collapsedLevelsAreSubtotals="1" fieldPosition="0">
        <references count="1">
          <reference field="4" count="1">
            <x v="5"/>
          </reference>
        </references>
      </pivotArea>
    </format>
    <format dxfId="49">
      <pivotArea collapsedLevelsAreSubtotals="1" fieldPosition="0">
        <references count="1">
          <reference field="4" count="2">
            <x v="7"/>
            <x v="8"/>
          </reference>
        </references>
      </pivotArea>
    </format>
    <format dxfId="50">
      <pivotArea collapsedLevelsAreSubtotals="1" fieldPosition="0">
        <references count="1">
          <reference field="4" count="2">
            <x v="11"/>
            <x v="12"/>
          </reference>
        </references>
      </pivotArea>
    </format>
    <format dxfId="51">
      <pivotArea collapsedLevelsAreSubtotals="1" fieldPosition="0">
        <references count="1">
          <reference field="4" count="2">
            <x v="14"/>
            <x v="15"/>
          </reference>
        </references>
      </pivotArea>
    </format>
    <format dxfId="52">
      <pivotArea collapsedLevelsAreSubtotals="1" fieldPosition="0">
        <references count="1">
          <reference field="4" count="1">
            <x v="17"/>
          </reference>
        </references>
      </pivotArea>
    </format>
    <format dxfId="53">
      <pivotArea collapsedLevelsAreSubtotals="1" fieldPosition="0">
        <references count="1">
          <reference field="4" count="1">
            <x v="20"/>
          </reference>
        </references>
      </pivotArea>
    </format>
    <format dxfId="54">
      <pivotArea grandRow="1" outline="0" collapsedLevelsAreSubtotals="1" fieldPosition="0"/>
    </format>
    <format dxfId="55">
      <pivotArea collapsedLevelsAreSubtotals="1" fieldPosition="0">
        <references count="1">
          <reference field="4" count="1">
            <x v="1"/>
          </reference>
        </references>
      </pivotArea>
    </format>
    <format dxfId="56">
      <pivotArea collapsedLevelsAreSubtotals="1" fieldPosition="0">
        <references count="1">
          <reference field="4" count="1">
            <x v="5"/>
          </reference>
        </references>
      </pivotArea>
    </format>
    <format dxfId="57">
      <pivotArea collapsedLevelsAreSubtotals="1" fieldPosition="0">
        <references count="1">
          <reference field="4" count="2">
            <x v="7"/>
            <x v="8"/>
          </reference>
        </references>
      </pivotArea>
    </format>
    <format dxfId="58">
      <pivotArea collapsedLevelsAreSubtotals="1" fieldPosition="0">
        <references count="1">
          <reference field="4" count="2">
            <x v="11"/>
            <x v="12"/>
          </reference>
        </references>
      </pivotArea>
    </format>
    <format dxfId="59">
      <pivotArea collapsedLevelsAreSubtotals="1" fieldPosition="0">
        <references count="1">
          <reference field="4" count="2">
            <x v="14"/>
            <x v="15"/>
          </reference>
        </references>
      </pivotArea>
    </format>
    <format dxfId="60">
      <pivotArea collapsedLevelsAreSubtotals="1" fieldPosition="0">
        <references count="1">
          <reference field="4" count="1">
            <x v="17"/>
          </reference>
        </references>
      </pivotArea>
    </format>
    <format dxfId="61">
      <pivotArea collapsedLevelsAreSubtotals="1" fieldPosition="0">
        <references count="1">
          <reference field="4" count="1">
            <x v="20"/>
          </reference>
        </references>
      </pivotArea>
    </format>
    <format dxfId="62">
      <pivotArea grandRow="1" outline="0" collapsedLevelsAreSubtotals="1" fieldPosition="0"/>
    </format>
  </formats>
  <chartFormats count="1">
    <chartFormat chart="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2">
    <queryTableFields count="11">
      <queryTableField id="1" name="Order ID" tableColumnId="23"/>
      <queryTableField id="2" name="Date" tableColumnId="24"/>
      <queryTableField id="3" name="Region" tableColumnId="25"/>
      <queryTableField id="4" name="Category" tableColumnId="26"/>
      <queryTableField id="5" name="Product" tableColumnId="27"/>
      <queryTableField id="6" name="Quantity" tableColumnId="28"/>
      <queryTableField id="7" name="Unit Price" tableColumnId="29"/>
      <queryTableField id="8" name="Revenue" tableColumnId="30"/>
      <queryTableField id="9" name="Month" tableColumnId="31"/>
      <queryTableField id="10" name="Year" tableColumnId="32"/>
      <queryTableField id="11" name="Quarter"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3"/>
    <pivotTable tabId="3" name="PivotTable5"/>
    <pivotTable tabId="3" name="PivotTable2"/>
    <pivotTable tabId="3" name="PivotTable6"/>
  </pivotTables>
  <data>
    <tabular pivotCacheId="1">
      <items count="5">
        <i x="1" s="1"/>
        <i x="2"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Quarter" sourceName="Quarter">
  <pivotTables>
    <pivotTable tabId="3" name="PivotTable1"/>
    <pivotTable tabId="3" name="PivotTable3"/>
    <pivotTable tabId="3" name="PivotTable5"/>
    <pivotTable tabId="3" name="PivotTable2"/>
    <pivotTable tabId="3" name="PivotTable6"/>
  </pivotTables>
  <data>
    <tabular pivotCacheId="1">
      <items count="4">
        <i x="2"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2"/>
    <pivotTable tabId="3" name="PivotTable1"/>
    <pivotTable tabId="3" name="PivotTable3"/>
    <pivotTable tabId="3" name="PivotTable5"/>
    <pivotTable tabId="3" name="PivotTable6"/>
  </pivotTables>
  <data>
    <tabular pivotCacheId="1">
      <items count="5">
        <i x="4" s="1"/>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StyleLight4" rowHeight="241300"/>
  <slicer name="Quarter" cache="Slicer_Quarter" caption="Quarter" style="SlicerStyleLight4" rowHeight="241300"/>
  <slicer name="Category" cache="Slicer_Category" caption="Category"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alesData" displayName="SalesData" ref="A1:K497" tableType="queryTable" totalsRowShown="0">
  <autoFilter ref="A1:K497"/>
  <tableColumns count="11">
    <tableColumn id="23" uniqueName="23" name="Order ID" queryTableFieldId="1"/>
    <tableColumn id="24" uniqueName="24" name="Date" queryTableFieldId="2" dataDxfId="76"/>
    <tableColumn id="25" uniqueName="25" name="Region" queryTableFieldId="3"/>
    <tableColumn id="26" uniqueName="26" name="Category" queryTableFieldId="4"/>
    <tableColumn id="27" uniqueName="27" name="Product" queryTableFieldId="5"/>
    <tableColumn id="28" uniqueName="28" name="Quantity" queryTableFieldId="6"/>
    <tableColumn id="29" uniqueName="29" name="Unit Price" queryTableFieldId="7" dataDxfId="75"/>
    <tableColumn id="30" uniqueName="30" name="Revenue" queryTableFieldId="8" dataDxfId="74"/>
    <tableColumn id="31" uniqueName="31" name="Month" queryTableFieldId="9"/>
    <tableColumn id="32" uniqueName="32" name="Year" queryTableFieldId="10"/>
    <tableColumn id="33" uniqueName="33" name="Quarter" queryTableFieldId="1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3" name="PivotTable1"/>
    <pivotTable tabId="3" name="PivotTable3"/>
    <pivotTable tabId="3" name="PivotTable5"/>
    <pivotTable tabId="3" name="PivotTable2"/>
    <pivotTable tabId="3" name="PivotTable6"/>
  </pivotTables>
  <state minimalRefreshVersion="6" lastRefreshVersion="6" pivotCacheId="1" filterType="unknown">
    <bounds startDate="2024-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2" scrollPosition="2024-01-20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N497"/>
  <sheetViews>
    <sheetView zoomScale="110" zoomScaleNormal="110" workbookViewId="0">
      <selection activeCell="K9" sqref="K9"/>
    </sheetView>
  </sheetViews>
  <sheetFormatPr defaultRowHeight="14.5" x14ac:dyDescent="0.35"/>
  <cols>
    <col min="1" max="1" width="10.26953125" bestFit="1" customWidth="1"/>
    <col min="2" max="2" width="10.08984375" bestFit="1" customWidth="1"/>
    <col min="4" max="4" width="13.1796875" bestFit="1" customWidth="1"/>
    <col min="5" max="5" width="18.81640625" bestFit="1" customWidth="1"/>
    <col min="6" max="6" width="10.453125" bestFit="1" customWidth="1"/>
    <col min="7" max="7" width="11.1796875" style="5" bestFit="1" customWidth="1"/>
    <col min="8" max="8" width="10.26953125" style="5" bestFit="1" customWidth="1"/>
    <col min="9" max="9" width="8.81640625" bestFit="1" customWidth="1"/>
    <col min="10" max="10" width="6.81640625" bestFit="1" customWidth="1"/>
    <col min="11" max="11" width="9.7265625" bestFit="1" customWidth="1"/>
    <col min="14" max="14" width="12.54296875" bestFit="1" customWidth="1"/>
  </cols>
  <sheetData>
    <row r="1" spans="1:14" x14ac:dyDescent="0.35">
      <c r="A1" s="1" t="s">
        <v>0</v>
      </c>
      <c r="B1" s="1" t="s">
        <v>1</v>
      </c>
      <c r="C1" s="1" t="s">
        <v>2</v>
      </c>
      <c r="D1" s="1" t="s">
        <v>3</v>
      </c>
      <c r="E1" s="1" t="s">
        <v>4</v>
      </c>
      <c r="F1" s="1" t="s">
        <v>5</v>
      </c>
      <c r="G1" s="5" t="s">
        <v>6</v>
      </c>
      <c r="H1" s="5" t="s">
        <v>7</v>
      </c>
      <c r="I1" s="1" t="s">
        <v>8</v>
      </c>
      <c r="J1" s="1" t="s">
        <v>9</v>
      </c>
      <c r="K1" s="1" t="s">
        <v>10</v>
      </c>
    </row>
    <row r="2" spans="1:14" x14ac:dyDescent="0.35">
      <c r="A2" s="1" t="s">
        <v>11</v>
      </c>
      <c r="B2" s="2">
        <v>45467</v>
      </c>
      <c r="C2" s="1" t="s">
        <v>12</v>
      </c>
      <c r="D2" s="1" t="s">
        <v>13</v>
      </c>
      <c r="E2" s="1" t="s">
        <v>14</v>
      </c>
      <c r="F2" s="1">
        <v>5</v>
      </c>
      <c r="G2" s="5">
        <v>138.65</v>
      </c>
      <c r="H2" s="5">
        <v>693.25</v>
      </c>
      <c r="I2" s="1" t="s">
        <v>15</v>
      </c>
      <c r="J2" s="1" t="s">
        <v>16</v>
      </c>
      <c r="K2" s="1">
        <v>2</v>
      </c>
      <c r="M2" s="6">
        <f>MAX(SalesData[Revenue])</f>
        <v>25656.199999999997</v>
      </c>
      <c r="N2" s="6" t="s">
        <v>563</v>
      </c>
    </row>
    <row r="3" spans="1:14" x14ac:dyDescent="0.35">
      <c r="A3" s="1" t="s">
        <v>17</v>
      </c>
      <c r="B3" s="2">
        <v>45647</v>
      </c>
      <c r="C3" s="1" t="s">
        <v>18</v>
      </c>
      <c r="D3" s="1" t="s">
        <v>19</v>
      </c>
      <c r="E3" s="1" t="s">
        <v>20</v>
      </c>
      <c r="F3" s="1">
        <v>19</v>
      </c>
      <c r="G3" s="5">
        <v>89.42</v>
      </c>
      <c r="H3" s="5">
        <v>1698.98</v>
      </c>
      <c r="I3" s="1" t="s">
        <v>21</v>
      </c>
      <c r="J3" s="1" t="s">
        <v>16</v>
      </c>
      <c r="K3" s="1">
        <v>4</v>
      </c>
      <c r="M3" s="6">
        <f>MIN(SalesData[Revenue])</f>
        <v>15.64</v>
      </c>
      <c r="N3" s="6" t="s">
        <v>564</v>
      </c>
    </row>
    <row r="4" spans="1:14" x14ac:dyDescent="0.35">
      <c r="A4" s="1" t="s">
        <v>22</v>
      </c>
      <c r="B4" s="2">
        <v>45361</v>
      </c>
      <c r="C4" s="1" t="s">
        <v>23</v>
      </c>
      <c r="D4" s="1" t="s">
        <v>24</v>
      </c>
      <c r="E4" s="1" t="s">
        <v>25</v>
      </c>
      <c r="F4" s="1">
        <v>8</v>
      </c>
      <c r="G4" s="5">
        <v>244.57</v>
      </c>
      <c r="H4" s="5">
        <v>1956.56</v>
      </c>
      <c r="I4" s="1" t="s">
        <v>26</v>
      </c>
      <c r="J4" s="1" t="s">
        <v>16</v>
      </c>
      <c r="K4" s="1">
        <v>1</v>
      </c>
      <c r="M4" s="6">
        <f>AVERAGE(SalesData[Revenue])</f>
        <v>1755.5693951612911</v>
      </c>
      <c r="N4" s="6" t="s">
        <v>565</v>
      </c>
    </row>
    <row r="5" spans="1:14" x14ac:dyDescent="0.35">
      <c r="A5" s="1" t="s">
        <v>27</v>
      </c>
      <c r="B5" s="2">
        <v>45571</v>
      </c>
      <c r="C5" s="1" t="s">
        <v>12</v>
      </c>
      <c r="D5" s="1" t="s">
        <v>19</v>
      </c>
      <c r="E5" s="1" t="s">
        <v>28</v>
      </c>
      <c r="F5" s="1">
        <v>19</v>
      </c>
      <c r="G5" s="5">
        <v>28.76</v>
      </c>
      <c r="H5" s="5">
        <v>546.44000000000005</v>
      </c>
      <c r="I5" s="1" t="s">
        <v>29</v>
      </c>
      <c r="J5" s="1" t="s">
        <v>16</v>
      </c>
      <c r="K5" s="1">
        <v>4</v>
      </c>
    </row>
    <row r="6" spans="1:14" x14ac:dyDescent="0.35">
      <c r="A6" s="1" t="s">
        <v>30</v>
      </c>
      <c r="B6" s="2">
        <v>45585</v>
      </c>
      <c r="C6" s="1" t="s">
        <v>18</v>
      </c>
      <c r="D6" s="1" t="s">
        <v>19</v>
      </c>
      <c r="E6" s="1" t="s">
        <v>31</v>
      </c>
      <c r="F6" s="1">
        <v>11</v>
      </c>
      <c r="G6" s="5">
        <v>591.91999999999996</v>
      </c>
      <c r="H6" s="5">
        <v>6511.12</v>
      </c>
      <c r="I6" s="1" t="s">
        <v>29</v>
      </c>
      <c r="J6" s="1" t="s">
        <v>16</v>
      </c>
      <c r="K6" s="1">
        <v>4</v>
      </c>
    </row>
    <row r="7" spans="1:14" x14ac:dyDescent="0.35">
      <c r="A7" s="1" t="s">
        <v>32</v>
      </c>
      <c r="B7" s="2">
        <v>45458</v>
      </c>
      <c r="C7" s="1" t="s">
        <v>23</v>
      </c>
      <c r="D7" s="1" t="s">
        <v>13</v>
      </c>
      <c r="E7" s="1" t="s">
        <v>14</v>
      </c>
      <c r="F7" s="1">
        <v>1</v>
      </c>
      <c r="G7" s="5">
        <v>148.44999999999999</v>
      </c>
      <c r="H7" s="5">
        <v>148.44999999999999</v>
      </c>
      <c r="I7" s="1" t="s">
        <v>15</v>
      </c>
      <c r="J7" s="1" t="s">
        <v>16</v>
      </c>
      <c r="K7" s="1">
        <v>2</v>
      </c>
    </row>
    <row r="8" spans="1:14" x14ac:dyDescent="0.35">
      <c r="A8" s="1" t="s">
        <v>33</v>
      </c>
      <c r="B8" s="2">
        <v>45356</v>
      </c>
      <c r="C8" s="1" t="s">
        <v>12</v>
      </c>
      <c r="D8" s="1" t="s">
        <v>24</v>
      </c>
      <c r="E8" s="1" t="s">
        <v>34</v>
      </c>
      <c r="F8" s="1">
        <v>3</v>
      </c>
      <c r="G8" s="5">
        <v>86.56</v>
      </c>
      <c r="H8" s="5">
        <v>259.68</v>
      </c>
      <c r="I8" s="1" t="s">
        <v>26</v>
      </c>
      <c r="J8" s="1" t="s">
        <v>16</v>
      </c>
      <c r="K8" s="1">
        <v>1</v>
      </c>
    </row>
    <row r="9" spans="1:14" x14ac:dyDescent="0.35">
      <c r="A9" s="1" t="s">
        <v>35</v>
      </c>
      <c r="B9" s="2">
        <v>45558</v>
      </c>
      <c r="C9" s="1" t="s">
        <v>18</v>
      </c>
      <c r="D9" s="1" t="s">
        <v>13</v>
      </c>
      <c r="E9" s="1" t="s">
        <v>36</v>
      </c>
      <c r="F9" s="1">
        <v>14</v>
      </c>
      <c r="G9" s="5">
        <v>19.5</v>
      </c>
      <c r="H9" s="5">
        <v>273</v>
      </c>
      <c r="I9" s="1" t="s">
        <v>37</v>
      </c>
      <c r="J9" s="1" t="s">
        <v>16</v>
      </c>
      <c r="K9" s="1">
        <v>3</v>
      </c>
    </row>
    <row r="10" spans="1:14" x14ac:dyDescent="0.35">
      <c r="A10" s="1" t="s">
        <v>38</v>
      </c>
      <c r="B10" s="2">
        <v>45603</v>
      </c>
      <c r="C10" s="1" t="s">
        <v>23</v>
      </c>
      <c r="D10" s="1" t="s">
        <v>39</v>
      </c>
      <c r="E10" s="1" t="s">
        <v>40</v>
      </c>
      <c r="F10" s="1">
        <v>13</v>
      </c>
      <c r="G10" s="5">
        <v>160.58000000000001</v>
      </c>
      <c r="H10" s="5">
        <v>2087.54</v>
      </c>
      <c r="I10" s="1" t="s">
        <v>41</v>
      </c>
      <c r="J10" s="1" t="s">
        <v>16</v>
      </c>
      <c r="K10" s="1">
        <v>4</v>
      </c>
    </row>
    <row r="11" spans="1:14" x14ac:dyDescent="0.35">
      <c r="A11" s="1" t="s">
        <v>42</v>
      </c>
      <c r="B11" s="2">
        <v>45451</v>
      </c>
      <c r="C11" s="1" t="s">
        <v>23</v>
      </c>
      <c r="D11" s="1" t="s">
        <v>24</v>
      </c>
      <c r="E11" s="1" t="s">
        <v>43</v>
      </c>
      <c r="F11" s="1">
        <v>15</v>
      </c>
      <c r="G11" s="5">
        <v>75.14</v>
      </c>
      <c r="H11" s="5">
        <v>1127.0999999999999</v>
      </c>
      <c r="I11" s="1" t="s">
        <v>15</v>
      </c>
      <c r="J11" s="1" t="s">
        <v>16</v>
      </c>
      <c r="K11" s="1">
        <v>2</v>
      </c>
    </row>
    <row r="12" spans="1:14" x14ac:dyDescent="0.35">
      <c r="A12" s="1" t="s">
        <v>44</v>
      </c>
      <c r="B12" s="2">
        <v>45589</v>
      </c>
      <c r="C12" s="1" t="s">
        <v>45</v>
      </c>
      <c r="D12" s="1" t="s">
        <v>19</v>
      </c>
      <c r="E12" s="1" t="s">
        <v>20</v>
      </c>
      <c r="F12" s="1">
        <v>20</v>
      </c>
      <c r="G12" s="5">
        <v>89.06</v>
      </c>
      <c r="H12" s="5">
        <v>1781.2</v>
      </c>
      <c r="I12" s="1" t="s">
        <v>29</v>
      </c>
      <c r="J12" s="1" t="s">
        <v>16</v>
      </c>
      <c r="K12" s="1">
        <v>4</v>
      </c>
    </row>
    <row r="13" spans="1:14" x14ac:dyDescent="0.35">
      <c r="A13" s="1" t="s">
        <v>46</v>
      </c>
      <c r="B13" s="2">
        <v>45639</v>
      </c>
      <c r="C13" s="1" t="s">
        <v>47</v>
      </c>
      <c r="D13" s="1" t="s">
        <v>19</v>
      </c>
      <c r="E13" s="1" t="s">
        <v>28</v>
      </c>
      <c r="F13" s="1">
        <v>2</v>
      </c>
      <c r="G13" s="5">
        <v>31.87</v>
      </c>
      <c r="H13" s="5">
        <v>63.74</v>
      </c>
      <c r="I13" s="1" t="s">
        <v>21</v>
      </c>
      <c r="J13" s="1" t="s">
        <v>16</v>
      </c>
      <c r="K13" s="1">
        <v>4</v>
      </c>
    </row>
    <row r="14" spans="1:14" x14ac:dyDescent="0.35">
      <c r="A14" s="1" t="s">
        <v>48</v>
      </c>
      <c r="B14" s="2">
        <v>45473</v>
      </c>
      <c r="C14" s="1" t="s">
        <v>23</v>
      </c>
      <c r="D14" s="1" t="s">
        <v>49</v>
      </c>
      <c r="E14" s="1" t="s">
        <v>50</v>
      </c>
      <c r="F14" s="1">
        <v>12</v>
      </c>
      <c r="G14" s="5">
        <v>20.78</v>
      </c>
      <c r="H14" s="5">
        <v>249.36</v>
      </c>
      <c r="I14" s="1" t="s">
        <v>15</v>
      </c>
      <c r="J14" s="1" t="s">
        <v>16</v>
      </c>
      <c r="K14" s="1">
        <v>2</v>
      </c>
    </row>
    <row r="15" spans="1:14" x14ac:dyDescent="0.35">
      <c r="A15" s="1" t="s">
        <v>51</v>
      </c>
      <c r="B15" s="2">
        <v>45591</v>
      </c>
      <c r="C15" s="1" t="s">
        <v>18</v>
      </c>
      <c r="D15" s="1" t="s">
        <v>49</v>
      </c>
      <c r="E15" s="1" t="s">
        <v>52</v>
      </c>
      <c r="F15" s="1">
        <v>5</v>
      </c>
      <c r="G15" s="5">
        <v>24.49</v>
      </c>
      <c r="H15" s="5">
        <v>122.44999999999999</v>
      </c>
      <c r="I15" s="1" t="s">
        <v>29</v>
      </c>
      <c r="J15" s="1" t="s">
        <v>16</v>
      </c>
      <c r="K15" s="1">
        <v>4</v>
      </c>
    </row>
    <row r="16" spans="1:14" x14ac:dyDescent="0.35">
      <c r="A16" s="1" t="s">
        <v>53</v>
      </c>
      <c r="B16" s="2">
        <v>45399</v>
      </c>
      <c r="C16" s="1" t="s">
        <v>45</v>
      </c>
      <c r="D16" s="1" t="s">
        <v>49</v>
      </c>
      <c r="E16" s="1" t="s">
        <v>50</v>
      </c>
      <c r="F16" s="1">
        <v>4</v>
      </c>
      <c r="G16" s="5">
        <v>18.23</v>
      </c>
      <c r="H16" s="5">
        <v>72.92</v>
      </c>
      <c r="I16" s="1" t="s">
        <v>54</v>
      </c>
      <c r="J16" s="1" t="s">
        <v>16</v>
      </c>
      <c r="K16" s="1">
        <v>2</v>
      </c>
    </row>
    <row r="17" spans="1:11" x14ac:dyDescent="0.35">
      <c r="A17" s="1" t="s">
        <v>55</v>
      </c>
      <c r="B17" s="2">
        <v>45491</v>
      </c>
      <c r="C17" s="1" t="s">
        <v>23</v>
      </c>
      <c r="D17" s="1" t="s">
        <v>49</v>
      </c>
      <c r="E17" s="1" t="s">
        <v>52</v>
      </c>
      <c r="F17" s="1">
        <v>14</v>
      </c>
      <c r="G17" s="5">
        <v>26.36</v>
      </c>
      <c r="H17" s="5">
        <v>369.03999999999996</v>
      </c>
      <c r="I17" s="1" t="s">
        <v>56</v>
      </c>
      <c r="J17" s="1" t="s">
        <v>16</v>
      </c>
      <c r="K17" s="1">
        <v>3</v>
      </c>
    </row>
    <row r="18" spans="1:11" x14ac:dyDescent="0.35">
      <c r="A18" s="1" t="s">
        <v>57</v>
      </c>
      <c r="B18" s="2">
        <v>45433</v>
      </c>
      <c r="C18" s="1" t="s">
        <v>12</v>
      </c>
      <c r="D18" s="1" t="s">
        <v>39</v>
      </c>
      <c r="E18" s="1" t="s">
        <v>58</v>
      </c>
      <c r="F18" s="1">
        <v>9</v>
      </c>
      <c r="G18" s="5">
        <v>106.24</v>
      </c>
      <c r="H18" s="5">
        <v>956.16</v>
      </c>
      <c r="I18" s="1" t="s">
        <v>59</v>
      </c>
      <c r="J18" s="1" t="s">
        <v>16</v>
      </c>
      <c r="K18" s="1">
        <v>2</v>
      </c>
    </row>
    <row r="19" spans="1:11" x14ac:dyDescent="0.35">
      <c r="A19" s="1" t="s">
        <v>60</v>
      </c>
      <c r="B19" s="2">
        <v>45532</v>
      </c>
      <c r="C19" s="1" t="s">
        <v>23</v>
      </c>
      <c r="D19" s="1" t="s">
        <v>19</v>
      </c>
      <c r="E19" s="1" t="s">
        <v>61</v>
      </c>
      <c r="F19" s="1">
        <v>11</v>
      </c>
      <c r="G19" s="5">
        <v>69.83</v>
      </c>
      <c r="H19" s="5">
        <v>768.13</v>
      </c>
      <c r="I19" s="1" t="s">
        <v>62</v>
      </c>
      <c r="J19" s="1" t="s">
        <v>16</v>
      </c>
      <c r="K19" s="1">
        <v>3</v>
      </c>
    </row>
    <row r="20" spans="1:11" x14ac:dyDescent="0.35">
      <c r="A20" s="1" t="s">
        <v>63</v>
      </c>
      <c r="B20" s="2">
        <v>45547</v>
      </c>
      <c r="C20" s="1" t="s">
        <v>47</v>
      </c>
      <c r="D20" s="1" t="s">
        <v>13</v>
      </c>
      <c r="E20" s="1" t="s">
        <v>64</v>
      </c>
      <c r="F20" s="1">
        <v>18</v>
      </c>
      <c r="G20" s="5">
        <v>195.16</v>
      </c>
      <c r="H20" s="5">
        <v>3512.88</v>
      </c>
      <c r="I20" s="1" t="s">
        <v>37</v>
      </c>
      <c r="J20" s="1" t="s">
        <v>16</v>
      </c>
      <c r="K20" s="1">
        <v>3</v>
      </c>
    </row>
    <row r="21" spans="1:11" x14ac:dyDescent="0.35">
      <c r="A21" s="1" t="s">
        <v>65</v>
      </c>
      <c r="B21" s="2">
        <v>45537</v>
      </c>
      <c r="C21" s="1" t="s">
        <v>18</v>
      </c>
      <c r="D21" s="1" t="s">
        <v>19</v>
      </c>
      <c r="E21" s="1" t="s">
        <v>31</v>
      </c>
      <c r="F21" s="1">
        <v>15</v>
      </c>
      <c r="G21" s="5">
        <v>527.62</v>
      </c>
      <c r="H21" s="5">
        <v>7914.3</v>
      </c>
      <c r="I21" s="1" t="s">
        <v>37</v>
      </c>
      <c r="J21" s="1" t="s">
        <v>16</v>
      </c>
      <c r="K21" s="1">
        <v>3</v>
      </c>
    </row>
    <row r="22" spans="1:11" x14ac:dyDescent="0.35">
      <c r="A22" s="1" t="s">
        <v>66</v>
      </c>
      <c r="B22" s="2">
        <v>45330</v>
      </c>
      <c r="C22" s="1" t="s">
        <v>18</v>
      </c>
      <c r="D22" s="1" t="s">
        <v>13</v>
      </c>
      <c r="E22" s="1" t="s">
        <v>64</v>
      </c>
      <c r="F22" s="1">
        <v>14</v>
      </c>
      <c r="G22" s="5">
        <v>187.84</v>
      </c>
      <c r="H22" s="5">
        <v>2629.76</v>
      </c>
      <c r="I22" s="1" t="s">
        <v>67</v>
      </c>
      <c r="J22" s="1" t="s">
        <v>16</v>
      </c>
      <c r="K22" s="1">
        <v>1</v>
      </c>
    </row>
    <row r="23" spans="1:11" x14ac:dyDescent="0.35">
      <c r="A23" s="1" t="s">
        <v>68</v>
      </c>
      <c r="B23" s="2">
        <v>45528</v>
      </c>
      <c r="C23" s="1" t="s">
        <v>47</v>
      </c>
      <c r="D23" s="1" t="s">
        <v>19</v>
      </c>
      <c r="E23" s="1" t="s">
        <v>20</v>
      </c>
      <c r="F23" s="1">
        <v>14</v>
      </c>
      <c r="G23" s="5">
        <v>95.52</v>
      </c>
      <c r="H23" s="5">
        <v>1337.28</v>
      </c>
      <c r="I23" s="1" t="s">
        <v>62</v>
      </c>
      <c r="J23" s="1" t="s">
        <v>16</v>
      </c>
      <c r="K23" s="1">
        <v>3</v>
      </c>
    </row>
    <row r="24" spans="1:11" x14ac:dyDescent="0.35">
      <c r="A24" s="1" t="s">
        <v>69</v>
      </c>
      <c r="B24" s="2">
        <v>45594</v>
      </c>
      <c r="C24" s="1" t="s">
        <v>12</v>
      </c>
      <c r="D24" s="1" t="s">
        <v>24</v>
      </c>
      <c r="E24" s="1" t="s">
        <v>70</v>
      </c>
      <c r="F24" s="1">
        <v>3</v>
      </c>
      <c r="G24" s="5">
        <v>1178.3699999999999</v>
      </c>
      <c r="H24" s="5">
        <v>3535.1099999999997</v>
      </c>
      <c r="I24" s="1" t="s">
        <v>29</v>
      </c>
      <c r="J24" s="1" t="s">
        <v>16</v>
      </c>
      <c r="K24" s="1">
        <v>4</v>
      </c>
    </row>
    <row r="25" spans="1:11" x14ac:dyDescent="0.35">
      <c r="A25" s="1" t="s">
        <v>71</v>
      </c>
      <c r="B25" s="2">
        <v>45592</v>
      </c>
      <c r="C25" s="1" t="s">
        <v>45</v>
      </c>
      <c r="D25" s="1" t="s">
        <v>24</v>
      </c>
      <c r="E25" s="1" t="s">
        <v>43</v>
      </c>
      <c r="F25" s="1">
        <v>12</v>
      </c>
      <c r="G25" s="5">
        <v>86.43</v>
      </c>
      <c r="H25" s="5">
        <v>1037.1600000000001</v>
      </c>
      <c r="I25" s="1" t="s">
        <v>29</v>
      </c>
      <c r="J25" s="1" t="s">
        <v>16</v>
      </c>
      <c r="K25" s="1">
        <v>4</v>
      </c>
    </row>
    <row r="26" spans="1:11" x14ac:dyDescent="0.35">
      <c r="A26" s="1" t="s">
        <v>72</v>
      </c>
      <c r="B26" s="2">
        <v>45419</v>
      </c>
      <c r="C26" s="1" t="s">
        <v>47</v>
      </c>
      <c r="D26" s="1" t="s">
        <v>24</v>
      </c>
      <c r="E26" s="1" t="s">
        <v>73</v>
      </c>
      <c r="F26" s="1">
        <v>6</v>
      </c>
      <c r="G26" s="5">
        <v>132.21</v>
      </c>
      <c r="H26" s="5">
        <v>793.26</v>
      </c>
      <c r="I26" s="1" t="s">
        <v>59</v>
      </c>
      <c r="J26" s="1" t="s">
        <v>16</v>
      </c>
      <c r="K26" s="1">
        <v>2</v>
      </c>
    </row>
    <row r="27" spans="1:11" x14ac:dyDescent="0.35">
      <c r="A27" s="1" t="s">
        <v>74</v>
      </c>
      <c r="B27" s="2">
        <v>45433</v>
      </c>
      <c r="C27" s="1" t="s">
        <v>12</v>
      </c>
      <c r="D27" s="1" t="s">
        <v>39</v>
      </c>
      <c r="E27" s="1" t="s">
        <v>40</v>
      </c>
      <c r="F27" s="1">
        <v>13</v>
      </c>
      <c r="G27" s="5">
        <v>154.65</v>
      </c>
      <c r="H27" s="5">
        <v>2010.45</v>
      </c>
      <c r="I27" s="1" t="s">
        <v>59</v>
      </c>
      <c r="J27" s="1" t="s">
        <v>16</v>
      </c>
      <c r="K27" s="1">
        <v>2</v>
      </c>
    </row>
    <row r="28" spans="1:11" x14ac:dyDescent="0.35">
      <c r="A28" s="1" t="s">
        <v>75</v>
      </c>
      <c r="B28" s="2">
        <v>45403</v>
      </c>
      <c r="C28" s="1" t="s">
        <v>12</v>
      </c>
      <c r="D28" s="1" t="s">
        <v>39</v>
      </c>
      <c r="E28" s="1" t="s">
        <v>76</v>
      </c>
      <c r="F28" s="1">
        <v>6</v>
      </c>
      <c r="G28" s="5">
        <v>61.41</v>
      </c>
      <c r="H28" s="5">
        <v>368.46</v>
      </c>
      <c r="I28" s="1" t="s">
        <v>54</v>
      </c>
      <c r="J28" s="1" t="s">
        <v>16</v>
      </c>
      <c r="K28" s="1">
        <v>2</v>
      </c>
    </row>
    <row r="29" spans="1:11" x14ac:dyDescent="0.35">
      <c r="A29" s="1" t="s">
        <v>77</v>
      </c>
      <c r="B29" s="2">
        <v>45366</v>
      </c>
      <c r="C29" s="1" t="s">
        <v>45</v>
      </c>
      <c r="D29" s="1" t="s">
        <v>13</v>
      </c>
      <c r="E29" s="1" t="s">
        <v>14</v>
      </c>
      <c r="F29" s="1">
        <v>19</v>
      </c>
      <c r="G29" s="5">
        <v>146.27000000000001</v>
      </c>
      <c r="H29" s="5">
        <v>2779.13</v>
      </c>
      <c r="I29" s="1" t="s">
        <v>26</v>
      </c>
      <c r="J29" s="1" t="s">
        <v>16</v>
      </c>
      <c r="K29" s="1">
        <v>1</v>
      </c>
    </row>
    <row r="30" spans="1:11" x14ac:dyDescent="0.35">
      <c r="A30" s="1" t="s">
        <v>78</v>
      </c>
      <c r="B30" s="2">
        <v>45338</v>
      </c>
      <c r="C30" s="1" t="s">
        <v>47</v>
      </c>
      <c r="D30" s="1" t="s">
        <v>39</v>
      </c>
      <c r="E30" s="1" t="s">
        <v>40</v>
      </c>
      <c r="F30" s="1">
        <v>12</v>
      </c>
      <c r="G30" s="5">
        <v>158.57</v>
      </c>
      <c r="H30" s="5">
        <v>1902.84</v>
      </c>
      <c r="I30" s="1" t="s">
        <v>67</v>
      </c>
      <c r="J30" s="1" t="s">
        <v>16</v>
      </c>
      <c r="K30" s="1">
        <v>1</v>
      </c>
    </row>
    <row r="31" spans="1:11" x14ac:dyDescent="0.35">
      <c r="A31" s="1" t="s">
        <v>79</v>
      </c>
      <c r="B31" s="2">
        <v>45469</v>
      </c>
      <c r="C31" s="1" t="s">
        <v>12</v>
      </c>
      <c r="D31" s="1" t="s">
        <v>39</v>
      </c>
      <c r="E31" s="1" t="s">
        <v>40</v>
      </c>
      <c r="F31" s="1">
        <v>7</v>
      </c>
      <c r="G31" s="5">
        <v>146.07</v>
      </c>
      <c r="H31" s="5">
        <v>1022.49</v>
      </c>
      <c r="I31" s="1" t="s">
        <v>15</v>
      </c>
      <c r="J31" s="1" t="s">
        <v>16</v>
      </c>
      <c r="K31" s="1">
        <v>2</v>
      </c>
    </row>
    <row r="32" spans="1:11" x14ac:dyDescent="0.35">
      <c r="A32" s="1" t="s">
        <v>80</v>
      </c>
      <c r="B32" s="2">
        <v>45369</v>
      </c>
      <c r="C32" s="1" t="s">
        <v>45</v>
      </c>
      <c r="D32" s="1" t="s">
        <v>49</v>
      </c>
      <c r="E32" s="1" t="s">
        <v>81</v>
      </c>
      <c r="F32" s="1">
        <v>7</v>
      </c>
      <c r="G32" s="5">
        <v>14.39</v>
      </c>
      <c r="H32" s="5">
        <v>100.73</v>
      </c>
      <c r="I32" s="1" t="s">
        <v>26</v>
      </c>
      <c r="J32" s="1" t="s">
        <v>16</v>
      </c>
      <c r="K32" s="1">
        <v>1</v>
      </c>
    </row>
    <row r="33" spans="1:11" x14ac:dyDescent="0.35">
      <c r="A33" s="1" t="s">
        <v>82</v>
      </c>
      <c r="B33" s="2">
        <v>45630</v>
      </c>
      <c r="C33" s="1" t="s">
        <v>23</v>
      </c>
      <c r="D33" s="1" t="s">
        <v>19</v>
      </c>
      <c r="E33" s="1" t="s">
        <v>83</v>
      </c>
      <c r="F33" s="1">
        <v>16</v>
      </c>
      <c r="G33" s="5">
        <v>438.75</v>
      </c>
      <c r="H33" s="5">
        <v>7020</v>
      </c>
      <c r="I33" s="1" t="s">
        <v>21</v>
      </c>
      <c r="J33" s="1" t="s">
        <v>16</v>
      </c>
      <c r="K33" s="1">
        <v>4</v>
      </c>
    </row>
    <row r="34" spans="1:11" x14ac:dyDescent="0.35">
      <c r="A34" s="1" t="s">
        <v>84</v>
      </c>
      <c r="B34" s="2">
        <v>45649</v>
      </c>
      <c r="C34" s="1" t="s">
        <v>23</v>
      </c>
      <c r="D34" s="1" t="s">
        <v>13</v>
      </c>
      <c r="E34" s="1" t="s">
        <v>64</v>
      </c>
      <c r="F34" s="1">
        <v>12</v>
      </c>
      <c r="G34" s="5">
        <v>195.49</v>
      </c>
      <c r="H34" s="5">
        <v>2345.88</v>
      </c>
      <c r="I34" s="1" t="s">
        <v>21</v>
      </c>
      <c r="J34" s="1" t="s">
        <v>16</v>
      </c>
      <c r="K34" s="1">
        <v>4</v>
      </c>
    </row>
    <row r="35" spans="1:11" x14ac:dyDescent="0.35">
      <c r="A35" s="1" t="s">
        <v>85</v>
      </c>
      <c r="B35" s="2">
        <v>45506</v>
      </c>
      <c r="C35" s="1" t="s">
        <v>45</v>
      </c>
      <c r="D35" s="1" t="s">
        <v>39</v>
      </c>
      <c r="E35" s="1" t="s">
        <v>86</v>
      </c>
      <c r="F35" s="1">
        <v>14</v>
      </c>
      <c r="G35" s="5">
        <v>216.39</v>
      </c>
      <c r="H35" s="5">
        <v>3029.46</v>
      </c>
      <c r="I35" s="1" t="s">
        <v>62</v>
      </c>
      <c r="J35" s="1" t="s">
        <v>16</v>
      </c>
      <c r="K35" s="1">
        <v>3</v>
      </c>
    </row>
    <row r="36" spans="1:11" x14ac:dyDescent="0.35">
      <c r="A36" s="1" t="s">
        <v>87</v>
      </c>
      <c r="B36" s="2">
        <v>45405</v>
      </c>
      <c r="C36" s="1" t="s">
        <v>47</v>
      </c>
      <c r="D36" s="1" t="s">
        <v>39</v>
      </c>
      <c r="E36" s="1" t="s">
        <v>76</v>
      </c>
      <c r="F36" s="1">
        <v>10</v>
      </c>
      <c r="G36" s="5">
        <v>60.9</v>
      </c>
      <c r="H36" s="5">
        <v>609</v>
      </c>
      <c r="I36" s="1" t="s">
        <v>54</v>
      </c>
      <c r="J36" s="1" t="s">
        <v>16</v>
      </c>
      <c r="K36" s="1">
        <v>2</v>
      </c>
    </row>
    <row r="37" spans="1:11" x14ac:dyDescent="0.35">
      <c r="A37" s="1" t="s">
        <v>88</v>
      </c>
      <c r="B37" s="2">
        <v>45547</v>
      </c>
      <c r="C37" s="1" t="s">
        <v>18</v>
      </c>
      <c r="D37" s="1" t="s">
        <v>13</v>
      </c>
      <c r="E37" s="1" t="s">
        <v>64</v>
      </c>
      <c r="F37" s="1">
        <v>17</v>
      </c>
      <c r="G37" s="5">
        <v>185.49</v>
      </c>
      <c r="H37" s="5">
        <v>3153.33</v>
      </c>
      <c r="I37" s="1" t="s">
        <v>37</v>
      </c>
      <c r="J37" s="1" t="s">
        <v>16</v>
      </c>
      <c r="K37" s="1">
        <v>3</v>
      </c>
    </row>
    <row r="38" spans="1:11" x14ac:dyDescent="0.35">
      <c r="A38" s="1" t="s">
        <v>89</v>
      </c>
      <c r="B38" s="2">
        <v>45306</v>
      </c>
      <c r="C38" s="1" t="s">
        <v>12</v>
      </c>
      <c r="D38" s="1" t="s">
        <v>24</v>
      </c>
      <c r="E38" s="1" t="s">
        <v>34</v>
      </c>
      <c r="F38" s="1">
        <v>19</v>
      </c>
      <c r="G38" s="5">
        <v>94.96</v>
      </c>
      <c r="H38" s="5">
        <v>1804.2399999999998</v>
      </c>
      <c r="I38" s="1" t="s">
        <v>90</v>
      </c>
      <c r="J38" s="1" t="s">
        <v>16</v>
      </c>
      <c r="K38" s="1">
        <v>1</v>
      </c>
    </row>
    <row r="39" spans="1:11" x14ac:dyDescent="0.35">
      <c r="A39" s="1" t="s">
        <v>91</v>
      </c>
      <c r="B39" s="2">
        <v>45426</v>
      </c>
      <c r="C39" s="1" t="s">
        <v>18</v>
      </c>
      <c r="D39" s="1" t="s">
        <v>19</v>
      </c>
      <c r="E39" s="1" t="s">
        <v>20</v>
      </c>
      <c r="F39" s="1">
        <v>4</v>
      </c>
      <c r="G39" s="5">
        <v>96.17</v>
      </c>
      <c r="H39" s="5">
        <v>384.68</v>
      </c>
      <c r="I39" s="1" t="s">
        <v>59</v>
      </c>
      <c r="J39" s="1" t="s">
        <v>16</v>
      </c>
      <c r="K39" s="1">
        <v>2</v>
      </c>
    </row>
    <row r="40" spans="1:11" x14ac:dyDescent="0.35">
      <c r="A40" s="1" t="s">
        <v>92</v>
      </c>
      <c r="B40" s="2">
        <v>45640</v>
      </c>
      <c r="C40" s="1" t="s">
        <v>12</v>
      </c>
      <c r="D40" s="1" t="s">
        <v>24</v>
      </c>
      <c r="E40" s="1" t="s">
        <v>93</v>
      </c>
      <c r="F40" s="1">
        <v>11</v>
      </c>
      <c r="G40" s="5">
        <v>47.41</v>
      </c>
      <c r="H40" s="5">
        <v>521.51</v>
      </c>
      <c r="I40" s="1" t="s">
        <v>21</v>
      </c>
      <c r="J40" s="1" t="s">
        <v>16</v>
      </c>
      <c r="K40" s="1">
        <v>4</v>
      </c>
    </row>
    <row r="41" spans="1:11" x14ac:dyDescent="0.35">
      <c r="A41" s="1" t="s">
        <v>94</v>
      </c>
      <c r="B41" s="2">
        <v>45311</v>
      </c>
      <c r="C41" s="1" t="s">
        <v>45</v>
      </c>
      <c r="D41" s="1" t="s">
        <v>49</v>
      </c>
      <c r="E41" s="1" t="s">
        <v>81</v>
      </c>
      <c r="F41" s="1">
        <v>2</v>
      </c>
      <c r="G41" s="5">
        <v>16.489999999999998</v>
      </c>
      <c r="H41" s="5">
        <v>32.979999999999997</v>
      </c>
      <c r="I41" s="1" t="s">
        <v>90</v>
      </c>
      <c r="J41" s="1" t="s">
        <v>16</v>
      </c>
      <c r="K41" s="1">
        <v>1</v>
      </c>
    </row>
    <row r="42" spans="1:11" x14ac:dyDescent="0.35">
      <c r="A42" s="1" t="s">
        <v>95</v>
      </c>
      <c r="B42" s="2">
        <v>45476</v>
      </c>
      <c r="C42" s="1" t="s">
        <v>18</v>
      </c>
      <c r="D42" s="1" t="s">
        <v>13</v>
      </c>
      <c r="E42" s="1" t="s">
        <v>64</v>
      </c>
      <c r="F42" s="1">
        <v>4</v>
      </c>
      <c r="G42" s="5">
        <v>190.7</v>
      </c>
      <c r="H42" s="5">
        <v>762.8</v>
      </c>
      <c r="I42" s="1" t="s">
        <v>56</v>
      </c>
      <c r="J42" s="1" t="s">
        <v>16</v>
      </c>
      <c r="K42" s="1">
        <v>3</v>
      </c>
    </row>
    <row r="43" spans="1:11" x14ac:dyDescent="0.35">
      <c r="A43" s="1" t="s">
        <v>96</v>
      </c>
      <c r="B43" s="2">
        <v>45620</v>
      </c>
      <c r="C43" s="1" t="s">
        <v>18</v>
      </c>
      <c r="D43" s="1" t="s">
        <v>39</v>
      </c>
      <c r="E43" s="1" t="s">
        <v>86</v>
      </c>
      <c r="F43" s="1">
        <v>19</v>
      </c>
      <c r="G43" s="5">
        <v>201.49</v>
      </c>
      <c r="H43" s="5">
        <v>3828.3100000000004</v>
      </c>
      <c r="I43" s="1" t="s">
        <v>41</v>
      </c>
      <c r="J43" s="1" t="s">
        <v>16</v>
      </c>
      <c r="K43" s="1">
        <v>4</v>
      </c>
    </row>
    <row r="44" spans="1:11" x14ac:dyDescent="0.35">
      <c r="A44" s="1" t="s">
        <v>97</v>
      </c>
      <c r="B44" s="2">
        <v>45539</v>
      </c>
      <c r="C44" s="1" t="s">
        <v>47</v>
      </c>
      <c r="D44" s="1" t="s">
        <v>39</v>
      </c>
      <c r="E44" s="1" t="s">
        <v>40</v>
      </c>
      <c r="F44" s="1">
        <v>3</v>
      </c>
      <c r="G44" s="5">
        <v>144.13999999999999</v>
      </c>
      <c r="H44" s="5">
        <v>432.41999999999996</v>
      </c>
      <c r="I44" s="1" t="s">
        <v>37</v>
      </c>
      <c r="J44" s="1" t="s">
        <v>16</v>
      </c>
      <c r="K44" s="1">
        <v>3</v>
      </c>
    </row>
    <row r="45" spans="1:11" x14ac:dyDescent="0.35">
      <c r="A45" s="1" t="s">
        <v>98</v>
      </c>
      <c r="B45" s="2">
        <v>45316</v>
      </c>
      <c r="C45" s="1" t="s">
        <v>12</v>
      </c>
      <c r="D45" s="1" t="s">
        <v>49</v>
      </c>
      <c r="E45" s="1" t="s">
        <v>99</v>
      </c>
      <c r="F45" s="1">
        <v>6</v>
      </c>
      <c r="G45" s="5">
        <v>63.88</v>
      </c>
      <c r="H45" s="5">
        <v>383.28000000000003</v>
      </c>
      <c r="I45" s="1" t="s">
        <v>90</v>
      </c>
      <c r="J45" s="1" t="s">
        <v>16</v>
      </c>
      <c r="K45" s="1">
        <v>1</v>
      </c>
    </row>
    <row r="46" spans="1:11" x14ac:dyDescent="0.35">
      <c r="A46" s="1" t="s">
        <v>100</v>
      </c>
      <c r="B46" s="2">
        <v>45296</v>
      </c>
      <c r="C46" s="1" t="s">
        <v>12</v>
      </c>
      <c r="D46" s="1" t="s">
        <v>13</v>
      </c>
      <c r="E46" s="1" t="s">
        <v>101</v>
      </c>
      <c r="F46" s="1">
        <v>4</v>
      </c>
      <c r="G46" s="5">
        <v>47.09</v>
      </c>
      <c r="H46" s="5">
        <v>188.36</v>
      </c>
      <c r="I46" s="1" t="s">
        <v>90</v>
      </c>
      <c r="J46" s="1" t="s">
        <v>16</v>
      </c>
      <c r="K46" s="1">
        <v>1</v>
      </c>
    </row>
    <row r="47" spans="1:11" x14ac:dyDescent="0.35">
      <c r="A47" s="1" t="s">
        <v>102</v>
      </c>
      <c r="B47" s="2">
        <v>45476</v>
      </c>
      <c r="C47" s="1" t="s">
        <v>12</v>
      </c>
      <c r="D47" s="1" t="s">
        <v>49</v>
      </c>
      <c r="E47" s="1" t="s">
        <v>99</v>
      </c>
      <c r="F47" s="1">
        <v>2</v>
      </c>
      <c r="G47" s="5">
        <v>56.4</v>
      </c>
      <c r="H47" s="5">
        <v>112.8</v>
      </c>
      <c r="I47" s="1" t="s">
        <v>56</v>
      </c>
      <c r="J47" s="1" t="s">
        <v>16</v>
      </c>
      <c r="K47" s="1">
        <v>3</v>
      </c>
    </row>
    <row r="48" spans="1:11" x14ac:dyDescent="0.35">
      <c r="A48" s="1" t="s">
        <v>103</v>
      </c>
      <c r="B48" s="2">
        <v>45649</v>
      </c>
      <c r="C48" s="1" t="s">
        <v>12</v>
      </c>
      <c r="D48" s="1" t="s">
        <v>19</v>
      </c>
      <c r="E48" s="1" t="s">
        <v>83</v>
      </c>
      <c r="F48" s="1">
        <v>8</v>
      </c>
      <c r="G48" s="5">
        <v>384.21</v>
      </c>
      <c r="H48" s="5">
        <v>3073.68</v>
      </c>
      <c r="I48" s="1" t="s">
        <v>21</v>
      </c>
      <c r="J48" s="1" t="s">
        <v>16</v>
      </c>
      <c r="K48" s="1">
        <v>4</v>
      </c>
    </row>
    <row r="49" spans="1:11" x14ac:dyDescent="0.35">
      <c r="A49" s="1" t="s">
        <v>104</v>
      </c>
      <c r="B49" s="2">
        <v>45433</v>
      </c>
      <c r="C49" s="1" t="s">
        <v>18</v>
      </c>
      <c r="D49" s="1" t="s">
        <v>13</v>
      </c>
      <c r="E49" s="1" t="s">
        <v>101</v>
      </c>
      <c r="F49" s="1">
        <v>10</v>
      </c>
      <c r="G49" s="5">
        <v>53.76</v>
      </c>
      <c r="H49" s="5">
        <v>537.6</v>
      </c>
      <c r="I49" s="1" t="s">
        <v>59</v>
      </c>
      <c r="J49" s="1" t="s">
        <v>16</v>
      </c>
      <c r="K49" s="1">
        <v>2</v>
      </c>
    </row>
    <row r="50" spans="1:11" x14ac:dyDescent="0.35">
      <c r="A50" s="1" t="s">
        <v>105</v>
      </c>
      <c r="B50" s="2">
        <v>45610</v>
      </c>
      <c r="C50" s="1" t="s">
        <v>12</v>
      </c>
      <c r="D50" s="1" t="s">
        <v>19</v>
      </c>
      <c r="E50" s="1" t="s">
        <v>61</v>
      </c>
      <c r="F50" s="1">
        <v>1</v>
      </c>
      <c r="G50" s="5">
        <v>67.12</v>
      </c>
      <c r="H50" s="5">
        <v>67.12</v>
      </c>
      <c r="I50" s="1" t="s">
        <v>41</v>
      </c>
      <c r="J50" s="1" t="s">
        <v>16</v>
      </c>
      <c r="K50" s="1">
        <v>4</v>
      </c>
    </row>
    <row r="51" spans="1:11" x14ac:dyDescent="0.35">
      <c r="A51" s="1" t="s">
        <v>106</v>
      </c>
      <c r="B51" s="2">
        <v>45619</v>
      </c>
      <c r="C51" s="1" t="s">
        <v>47</v>
      </c>
      <c r="D51" s="1" t="s">
        <v>24</v>
      </c>
      <c r="E51" s="1" t="s">
        <v>73</v>
      </c>
      <c r="F51" s="1">
        <v>9</v>
      </c>
      <c r="G51" s="5">
        <v>127.29</v>
      </c>
      <c r="H51" s="5">
        <v>1145.6100000000001</v>
      </c>
      <c r="I51" s="1" t="s">
        <v>41</v>
      </c>
      <c r="J51" s="1" t="s">
        <v>16</v>
      </c>
      <c r="K51" s="1">
        <v>4</v>
      </c>
    </row>
    <row r="52" spans="1:11" x14ac:dyDescent="0.35">
      <c r="A52" s="1" t="s">
        <v>107</v>
      </c>
      <c r="B52" s="2">
        <v>45295</v>
      </c>
      <c r="C52" s="1" t="s">
        <v>18</v>
      </c>
      <c r="D52" s="1" t="s">
        <v>19</v>
      </c>
      <c r="E52" s="1" t="s">
        <v>28</v>
      </c>
      <c r="F52" s="1">
        <v>6</v>
      </c>
      <c r="G52" s="5">
        <v>28.55</v>
      </c>
      <c r="H52" s="5">
        <v>171.3</v>
      </c>
      <c r="I52" s="1" t="s">
        <v>90</v>
      </c>
      <c r="J52" s="1" t="s">
        <v>16</v>
      </c>
      <c r="K52" s="1">
        <v>1</v>
      </c>
    </row>
    <row r="53" spans="1:11" x14ac:dyDescent="0.35">
      <c r="A53" s="1" t="s">
        <v>108</v>
      </c>
      <c r="B53" s="2">
        <v>45329</v>
      </c>
      <c r="C53" s="1" t="s">
        <v>23</v>
      </c>
      <c r="D53" s="1" t="s">
        <v>19</v>
      </c>
      <c r="E53" s="1" t="s">
        <v>28</v>
      </c>
      <c r="F53" s="1">
        <v>6</v>
      </c>
      <c r="G53" s="5">
        <v>30.73</v>
      </c>
      <c r="H53" s="5">
        <v>184.38</v>
      </c>
      <c r="I53" s="1" t="s">
        <v>67</v>
      </c>
      <c r="J53" s="1" t="s">
        <v>16</v>
      </c>
      <c r="K53" s="1">
        <v>1</v>
      </c>
    </row>
    <row r="54" spans="1:11" x14ac:dyDescent="0.35">
      <c r="A54" s="1" t="s">
        <v>109</v>
      </c>
      <c r="B54" s="2">
        <v>45303</v>
      </c>
      <c r="C54" s="1" t="s">
        <v>12</v>
      </c>
      <c r="D54" s="1" t="s">
        <v>39</v>
      </c>
      <c r="E54" s="1" t="s">
        <v>110</v>
      </c>
      <c r="F54" s="1">
        <v>7</v>
      </c>
      <c r="G54" s="5">
        <v>309.99</v>
      </c>
      <c r="H54" s="5">
        <v>2169.9300000000003</v>
      </c>
      <c r="I54" s="1" t="s">
        <v>90</v>
      </c>
      <c r="J54" s="1" t="s">
        <v>16</v>
      </c>
      <c r="K54" s="1">
        <v>1</v>
      </c>
    </row>
    <row r="55" spans="1:11" x14ac:dyDescent="0.35">
      <c r="A55" s="1" t="s">
        <v>111</v>
      </c>
      <c r="B55" s="2">
        <v>45482</v>
      </c>
      <c r="C55" s="1" t="s">
        <v>12</v>
      </c>
      <c r="D55" s="1" t="s">
        <v>24</v>
      </c>
      <c r="E55" s="1" t="s">
        <v>25</v>
      </c>
      <c r="F55" s="1">
        <v>3</v>
      </c>
      <c r="G55" s="5">
        <v>268.06</v>
      </c>
      <c r="H55" s="5">
        <v>804.18000000000006</v>
      </c>
      <c r="I55" s="1" t="s">
        <v>56</v>
      </c>
      <c r="J55" s="1" t="s">
        <v>16</v>
      </c>
      <c r="K55" s="1">
        <v>3</v>
      </c>
    </row>
    <row r="56" spans="1:11" x14ac:dyDescent="0.35">
      <c r="A56" s="1" t="s">
        <v>112</v>
      </c>
      <c r="B56" s="2">
        <v>45623</v>
      </c>
      <c r="C56" s="1" t="s">
        <v>47</v>
      </c>
      <c r="D56" s="1" t="s">
        <v>49</v>
      </c>
      <c r="E56" s="1" t="s">
        <v>52</v>
      </c>
      <c r="F56" s="1">
        <v>3</v>
      </c>
      <c r="G56" s="5">
        <v>25.76</v>
      </c>
      <c r="H56" s="5">
        <v>77.28</v>
      </c>
      <c r="I56" s="1" t="s">
        <v>41</v>
      </c>
      <c r="J56" s="1" t="s">
        <v>16</v>
      </c>
      <c r="K56" s="1">
        <v>4</v>
      </c>
    </row>
    <row r="57" spans="1:11" x14ac:dyDescent="0.35">
      <c r="A57" s="1" t="s">
        <v>113</v>
      </c>
      <c r="B57" s="2">
        <v>45654</v>
      </c>
      <c r="C57" s="1" t="s">
        <v>23</v>
      </c>
      <c r="D57" s="1" t="s">
        <v>49</v>
      </c>
      <c r="E57" s="1" t="s">
        <v>50</v>
      </c>
      <c r="F57" s="1">
        <v>9</v>
      </c>
      <c r="G57" s="5">
        <v>18.649999999999999</v>
      </c>
      <c r="H57" s="5">
        <v>167.85</v>
      </c>
      <c r="I57" s="1" t="s">
        <v>21</v>
      </c>
      <c r="J57" s="1" t="s">
        <v>16</v>
      </c>
      <c r="K57" s="1">
        <v>4</v>
      </c>
    </row>
    <row r="58" spans="1:11" x14ac:dyDescent="0.35">
      <c r="A58" s="1" t="s">
        <v>114</v>
      </c>
      <c r="B58" s="2">
        <v>45384</v>
      </c>
      <c r="C58" s="1" t="s">
        <v>18</v>
      </c>
      <c r="D58" s="1" t="s">
        <v>49</v>
      </c>
      <c r="E58" s="1" t="s">
        <v>115</v>
      </c>
      <c r="F58" s="1">
        <v>11</v>
      </c>
      <c r="G58" s="5">
        <v>23.07</v>
      </c>
      <c r="H58" s="5">
        <v>253.77</v>
      </c>
      <c r="I58" s="1" t="s">
        <v>54</v>
      </c>
      <c r="J58" s="1" t="s">
        <v>16</v>
      </c>
      <c r="K58" s="1">
        <v>2</v>
      </c>
    </row>
    <row r="59" spans="1:11" x14ac:dyDescent="0.35">
      <c r="A59" s="1" t="s">
        <v>116</v>
      </c>
      <c r="B59" s="2">
        <v>45556</v>
      </c>
      <c r="C59" s="1" t="s">
        <v>23</v>
      </c>
      <c r="D59" s="1" t="s">
        <v>49</v>
      </c>
      <c r="E59" s="1" t="s">
        <v>81</v>
      </c>
      <c r="F59" s="1">
        <v>17</v>
      </c>
      <c r="G59" s="5">
        <v>15.16</v>
      </c>
      <c r="H59" s="5">
        <v>257.72000000000003</v>
      </c>
      <c r="I59" s="1" t="s">
        <v>37</v>
      </c>
      <c r="J59" s="1" t="s">
        <v>16</v>
      </c>
      <c r="K59" s="1">
        <v>3</v>
      </c>
    </row>
    <row r="60" spans="1:11" x14ac:dyDescent="0.35">
      <c r="A60" s="1" t="s">
        <v>117</v>
      </c>
      <c r="B60" s="2">
        <v>45514</v>
      </c>
      <c r="C60" s="1" t="s">
        <v>23</v>
      </c>
      <c r="D60" s="1" t="s">
        <v>13</v>
      </c>
      <c r="E60" s="1" t="s">
        <v>64</v>
      </c>
      <c r="F60" s="1">
        <v>17</v>
      </c>
      <c r="G60" s="5">
        <v>194.73</v>
      </c>
      <c r="H60" s="5">
        <v>3310.41</v>
      </c>
      <c r="I60" s="1" t="s">
        <v>62</v>
      </c>
      <c r="J60" s="1" t="s">
        <v>16</v>
      </c>
      <c r="K60" s="1">
        <v>3</v>
      </c>
    </row>
    <row r="61" spans="1:11" x14ac:dyDescent="0.35">
      <c r="A61" s="1" t="s">
        <v>118</v>
      </c>
      <c r="B61" s="2">
        <v>45598</v>
      </c>
      <c r="C61" s="1" t="s">
        <v>18</v>
      </c>
      <c r="D61" s="1" t="s">
        <v>13</v>
      </c>
      <c r="E61" s="1" t="s">
        <v>119</v>
      </c>
      <c r="F61" s="1">
        <v>20</v>
      </c>
      <c r="G61" s="5">
        <v>242.88</v>
      </c>
      <c r="H61" s="5">
        <v>4857.6000000000004</v>
      </c>
      <c r="I61" s="1" t="s">
        <v>41</v>
      </c>
      <c r="J61" s="1" t="s">
        <v>16</v>
      </c>
      <c r="K61" s="1">
        <v>4</v>
      </c>
    </row>
    <row r="62" spans="1:11" x14ac:dyDescent="0.35">
      <c r="A62" s="1" t="s">
        <v>120</v>
      </c>
      <c r="B62" s="2">
        <v>45618</v>
      </c>
      <c r="C62" s="1" t="s">
        <v>18</v>
      </c>
      <c r="D62" s="1" t="s">
        <v>49</v>
      </c>
      <c r="E62" s="1" t="s">
        <v>81</v>
      </c>
      <c r="F62" s="1">
        <v>1</v>
      </c>
      <c r="G62" s="5">
        <v>15.64</v>
      </c>
      <c r="H62" s="5">
        <v>15.64</v>
      </c>
      <c r="I62" s="1" t="s">
        <v>41</v>
      </c>
      <c r="J62" s="1" t="s">
        <v>16</v>
      </c>
      <c r="K62" s="1">
        <v>4</v>
      </c>
    </row>
    <row r="63" spans="1:11" x14ac:dyDescent="0.35">
      <c r="A63" s="1" t="s">
        <v>121</v>
      </c>
      <c r="B63" s="2">
        <v>45563</v>
      </c>
      <c r="C63" s="1" t="s">
        <v>45</v>
      </c>
      <c r="D63" s="1" t="s">
        <v>24</v>
      </c>
      <c r="E63" s="1" t="s">
        <v>43</v>
      </c>
      <c r="F63" s="1">
        <v>3</v>
      </c>
      <c r="G63" s="5">
        <v>85.14</v>
      </c>
      <c r="H63" s="5">
        <v>255.42000000000002</v>
      </c>
      <c r="I63" s="1" t="s">
        <v>37</v>
      </c>
      <c r="J63" s="1" t="s">
        <v>16</v>
      </c>
      <c r="K63" s="1">
        <v>3</v>
      </c>
    </row>
    <row r="64" spans="1:11" x14ac:dyDescent="0.35">
      <c r="A64" s="1" t="s">
        <v>122</v>
      </c>
      <c r="B64" s="2">
        <v>45372</v>
      </c>
      <c r="C64" s="1" t="s">
        <v>23</v>
      </c>
      <c r="D64" s="1" t="s">
        <v>24</v>
      </c>
      <c r="E64" s="1" t="s">
        <v>43</v>
      </c>
      <c r="F64" s="1">
        <v>4</v>
      </c>
      <c r="G64" s="5">
        <v>77.760000000000005</v>
      </c>
      <c r="H64" s="5">
        <v>311.04000000000002</v>
      </c>
      <c r="I64" s="1" t="s">
        <v>26</v>
      </c>
      <c r="J64" s="1" t="s">
        <v>16</v>
      </c>
      <c r="K64" s="1">
        <v>1</v>
      </c>
    </row>
    <row r="65" spans="1:11" x14ac:dyDescent="0.35">
      <c r="A65" s="1" t="s">
        <v>123</v>
      </c>
      <c r="B65" s="2">
        <v>45343</v>
      </c>
      <c r="C65" s="1" t="s">
        <v>18</v>
      </c>
      <c r="D65" s="1" t="s">
        <v>49</v>
      </c>
      <c r="E65" s="1" t="s">
        <v>50</v>
      </c>
      <c r="F65" s="1">
        <v>5</v>
      </c>
      <c r="G65" s="5">
        <v>19.22</v>
      </c>
      <c r="H65" s="5">
        <v>96.1</v>
      </c>
      <c r="I65" s="1" t="s">
        <v>67</v>
      </c>
      <c r="J65" s="1" t="s">
        <v>16</v>
      </c>
      <c r="K65" s="1">
        <v>1</v>
      </c>
    </row>
    <row r="66" spans="1:11" x14ac:dyDescent="0.35">
      <c r="A66" s="1" t="s">
        <v>124</v>
      </c>
      <c r="B66" s="2">
        <v>45620</v>
      </c>
      <c r="C66" s="1" t="s">
        <v>18</v>
      </c>
      <c r="D66" s="1" t="s">
        <v>24</v>
      </c>
      <c r="E66" s="1" t="s">
        <v>70</v>
      </c>
      <c r="F66" s="1">
        <v>11</v>
      </c>
      <c r="G66" s="5">
        <v>1182.8599999999999</v>
      </c>
      <c r="H66" s="5">
        <v>13011.46</v>
      </c>
      <c r="I66" s="1" t="s">
        <v>41</v>
      </c>
      <c r="J66" s="1" t="s">
        <v>16</v>
      </c>
      <c r="K66" s="1">
        <v>4</v>
      </c>
    </row>
    <row r="67" spans="1:11" x14ac:dyDescent="0.35">
      <c r="A67" s="1" t="s">
        <v>125</v>
      </c>
      <c r="B67" s="2">
        <v>45563</v>
      </c>
      <c r="C67" s="1" t="s">
        <v>23</v>
      </c>
      <c r="D67" s="1" t="s">
        <v>13</v>
      </c>
      <c r="E67" s="1" t="s">
        <v>119</v>
      </c>
      <c r="F67" s="1">
        <v>6</v>
      </c>
      <c r="G67" s="5">
        <v>240.29</v>
      </c>
      <c r="H67" s="5">
        <v>1441.74</v>
      </c>
      <c r="I67" s="1" t="s">
        <v>37</v>
      </c>
      <c r="J67" s="1" t="s">
        <v>16</v>
      </c>
      <c r="K67" s="1">
        <v>3</v>
      </c>
    </row>
    <row r="68" spans="1:11" x14ac:dyDescent="0.35">
      <c r="A68" s="1" t="s">
        <v>126</v>
      </c>
      <c r="B68" s="2">
        <v>45368</v>
      </c>
      <c r="C68" s="1" t="s">
        <v>12</v>
      </c>
      <c r="D68" s="1" t="s">
        <v>24</v>
      </c>
      <c r="E68" s="1" t="s">
        <v>34</v>
      </c>
      <c r="F68" s="1">
        <v>14</v>
      </c>
      <c r="G68" s="5">
        <v>91.22</v>
      </c>
      <c r="H68" s="5">
        <v>1277.08</v>
      </c>
      <c r="I68" s="1" t="s">
        <v>26</v>
      </c>
      <c r="J68" s="1" t="s">
        <v>16</v>
      </c>
      <c r="K68" s="1">
        <v>1</v>
      </c>
    </row>
    <row r="69" spans="1:11" x14ac:dyDescent="0.35">
      <c r="A69" s="1" t="s">
        <v>127</v>
      </c>
      <c r="B69" s="2">
        <v>45554</v>
      </c>
      <c r="C69" s="1" t="s">
        <v>23</v>
      </c>
      <c r="D69" s="1" t="s">
        <v>13</v>
      </c>
      <c r="E69" s="1" t="s">
        <v>101</v>
      </c>
      <c r="F69" s="1">
        <v>9</v>
      </c>
      <c r="G69" s="5">
        <v>51.65</v>
      </c>
      <c r="H69" s="5">
        <v>464.84999999999997</v>
      </c>
      <c r="I69" s="1" t="s">
        <v>37</v>
      </c>
      <c r="J69" s="1" t="s">
        <v>16</v>
      </c>
      <c r="K69" s="1">
        <v>3</v>
      </c>
    </row>
    <row r="70" spans="1:11" x14ac:dyDescent="0.35">
      <c r="A70" s="1" t="s">
        <v>128</v>
      </c>
      <c r="B70" s="2">
        <v>45577</v>
      </c>
      <c r="C70" s="1" t="s">
        <v>12</v>
      </c>
      <c r="D70" s="1" t="s">
        <v>24</v>
      </c>
      <c r="E70" s="1" t="s">
        <v>73</v>
      </c>
      <c r="F70" s="1">
        <v>19</v>
      </c>
      <c r="G70" s="5">
        <v>129.47999999999999</v>
      </c>
      <c r="H70" s="5">
        <v>2460.12</v>
      </c>
      <c r="I70" s="1" t="s">
        <v>29</v>
      </c>
      <c r="J70" s="1" t="s">
        <v>16</v>
      </c>
      <c r="K70" s="1">
        <v>4</v>
      </c>
    </row>
    <row r="71" spans="1:11" x14ac:dyDescent="0.35">
      <c r="A71" s="1" t="s">
        <v>129</v>
      </c>
      <c r="B71" s="2">
        <v>45543</v>
      </c>
      <c r="C71" s="1" t="s">
        <v>47</v>
      </c>
      <c r="D71" s="1" t="s">
        <v>24</v>
      </c>
      <c r="E71" s="1" t="s">
        <v>43</v>
      </c>
      <c r="F71" s="1">
        <v>10</v>
      </c>
      <c r="G71" s="5">
        <v>80.61</v>
      </c>
      <c r="H71" s="5">
        <v>806.1</v>
      </c>
      <c r="I71" s="1" t="s">
        <v>37</v>
      </c>
      <c r="J71" s="1" t="s">
        <v>16</v>
      </c>
      <c r="K71" s="1">
        <v>3</v>
      </c>
    </row>
    <row r="72" spans="1:11" x14ac:dyDescent="0.35">
      <c r="A72" s="1" t="s">
        <v>130</v>
      </c>
      <c r="B72" s="2">
        <v>45440</v>
      </c>
      <c r="C72" s="1" t="s">
        <v>47</v>
      </c>
      <c r="D72" s="1" t="s">
        <v>24</v>
      </c>
      <c r="E72" s="1" t="s">
        <v>25</v>
      </c>
      <c r="F72" s="1">
        <v>19</v>
      </c>
      <c r="G72" s="5">
        <v>259.06</v>
      </c>
      <c r="H72" s="5">
        <v>4922.1400000000003</v>
      </c>
      <c r="I72" s="1" t="s">
        <v>59</v>
      </c>
      <c r="J72" s="1" t="s">
        <v>16</v>
      </c>
      <c r="K72" s="1">
        <v>2</v>
      </c>
    </row>
    <row r="73" spans="1:11" x14ac:dyDescent="0.35">
      <c r="A73" s="1" t="s">
        <v>131</v>
      </c>
      <c r="B73" s="2">
        <v>45622</v>
      </c>
      <c r="C73" s="1" t="s">
        <v>45</v>
      </c>
      <c r="D73" s="1" t="s">
        <v>13</v>
      </c>
      <c r="E73" s="1" t="s">
        <v>119</v>
      </c>
      <c r="F73" s="1">
        <v>16</v>
      </c>
      <c r="G73" s="5">
        <v>247.34</v>
      </c>
      <c r="H73" s="5">
        <v>3957.44</v>
      </c>
      <c r="I73" s="1" t="s">
        <v>41</v>
      </c>
      <c r="J73" s="1" t="s">
        <v>16</v>
      </c>
      <c r="K73" s="1">
        <v>4</v>
      </c>
    </row>
    <row r="74" spans="1:11" x14ac:dyDescent="0.35">
      <c r="A74" s="1" t="s">
        <v>132</v>
      </c>
      <c r="B74" s="2">
        <v>45374</v>
      </c>
      <c r="C74" s="1" t="s">
        <v>23</v>
      </c>
      <c r="D74" s="1" t="s">
        <v>49</v>
      </c>
      <c r="E74" s="1" t="s">
        <v>99</v>
      </c>
      <c r="F74" s="1">
        <v>10</v>
      </c>
      <c r="G74" s="5">
        <v>61.91</v>
      </c>
      <c r="H74" s="5">
        <v>619.09999999999991</v>
      </c>
      <c r="I74" s="1" t="s">
        <v>26</v>
      </c>
      <c r="J74" s="1" t="s">
        <v>16</v>
      </c>
      <c r="K74" s="1">
        <v>1</v>
      </c>
    </row>
    <row r="75" spans="1:11" x14ac:dyDescent="0.35">
      <c r="A75" s="1" t="s">
        <v>133</v>
      </c>
      <c r="B75" s="2">
        <v>45539</v>
      </c>
      <c r="C75" s="1" t="s">
        <v>12</v>
      </c>
      <c r="D75" s="1" t="s">
        <v>49</v>
      </c>
      <c r="E75" s="1" t="s">
        <v>115</v>
      </c>
      <c r="F75" s="1">
        <v>9</v>
      </c>
      <c r="G75" s="5">
        <v>21.96</v>
      </c>
      <c r="H75" s="5">
        <v>197.64000000000001</v>
      </c>
      <c r="I75" s="1" t="s">
        <v>37</v>
      </c>
      <c r="J75" s="1" t="s">
        <v>16</v>
      </c>
      <c r="K75" s="1">
        <v>3</v>
      </c>
    </row>
    <row r="76" spans="1:11" x14ac:dyDescent="0.35">
      <c r="A76" s="1" t="s">
        <v>134</v>
      </c>
      <c r="B76" s="2">
        <v>45532</v>
      </c>
      <c r="C76" s="1" t="s">
        <v>45</v>
      </c>
      <c r="D76" s="1" t="s">
        <v>19</v>
      </c>
      <c r="E76" s="1" t="s">
        <v>61</v>
      </c>
      <c r="F76" s="1">
        <v>13</v>
      </c>
      <c r="G76" s="5">
        <v>74.12</v>
      </c>
      <c r="H76" s="5">
        <v>963.56000000000006</v>
      </c>
      <c r="I76" s="1" t="s">
        <v>62</v>
      </c>
      <c r="J76" s="1" t="s">
        <v>16</v>
      </c>
      <c r="K76" s="1">
        <v>3</v>
      </c>
    </row>
    <row r="77" spans="1:11" x14ac:dyDescent="0.35">
      <c r="A77" s="1" t="s">
        <v>135</v>
      </c>
      <c r="B77" s="2">
        <v>45476</v>
      </c>
      <c r="C77" s="1" t="s">
        <v>23</v>
      </c>
      <c r="D77" s="1" t="s">
        <v>19</v>
      </c>
      <c r="E77" s="1" t="s">
        <v>28</v>
      </c>
      <c r="F77" s="1">
        <v>20</v>
      </c>
      <c r="G77" s="5">
        <v>30.23</v>
      </c>
      <c r="H77" s="5">
        <v>604.6</v>
      </c>
      <c r="I77" s="1" t="s">
        <v>56</v>
      </c>
      <c r="J77" s="1" t="s">
        <v>16</v>
      </c>
      <c r="K77" s="1">
        <v>3</v>
      </c>
    </row>
    <row r="78" spans="1:11" x14ac:dyDescent="0.35">
      <c r="A78" s="1" t="s">
        <v>136</v>
      </c>
      <c r="B78" s="2">
        <v>45586</v>
      </c>
      <c r="C78" s="1" t="s">
        <v>12</v>
      </c>
      <c r="D78" s="1" t="s">
        <v>13</v>
      </c>
      <c r="E78" s="1" t="s">
        <v>14</v>
      </c>
      <c r="F78" s="1">
        <v>14</v>
      </c>
      <c r="G78" s="5">
        <v>138.09</v>
      </c>
      <c r="H78" s="5">
        <v>1933.26</v>
      </c>
      <c r="I78" s="1" t="s">
        <v>29</v>
      </c>
      <c r="J78" s="1" t="s">
        <v>16</v>
      </c>
      <c r="K78" s="1">
        <v>4</v>
      </c>
    </row>
    <row r="79" spans="1:11" x14ac:dyDescent="0.35">
      <c r="A79" s="1" t="s">
        <v>137</v>
      </c>
      <c r="B79" s="2">
        <v>45444</v>
      </c>
      <c r="C79" s="1" t="s">
        <v>23</v>
      </c>
      <c r="D79" s="1" t="s">
        <v>24</v>
      </c>
      <c r="E79" s="1" t="s">
        <v>43</v>
      </c>
      <c r="F79" s="1">
        <v>18</v>
      </c>
      <c r="G79" s="5">
        <v>76.73</v>
      </c>
      <c r="H79" s="5">
        <v>1381.14</v>
      </c>
      <c r="I79" s="1" t="s">
        <v>15</v>
      </c>
      <c r="J79" s="1" t="s">
        <v>16</v>
      </c>
      <c r="K79" s="1">
        <v>2</v>
      </c>
    </row>
    <row r="80" spans="1:11" x14ac:dyDescent="0.35">
      <c r="A80" s="1" t="s">
        <v>138</v>
      </c>
      <c r="B80" s="2">
        <v>45307</v>
      </c>
      <c r="C80" s="1" t="s">
        <v>47</v>
      </c>
      <c r="D80" s="1" t="s">
        <v>13</v>
      </c>
      <c r="E80" s="1" t="s">
        <v>119</v>
      </c>
      <c r="F80" s="1">
        <v>13</v>
      </c>
      <c r="G80" s="5">
        <v>252.23</v>
      </c>
      <c r="H80" s="5">
        <v>3278.99</v>
      </c>
      <c r="I80" s="1" t="s">
        <v>90</v>
      </c>
      <c r="J80" s="1" t="s">
        <v>16</v>
      </c>
      <c r="K80" s="1">
        <v>1</v>
      </c>
    </row>
    <row r="81" spans="1:11" x14ac:dyDescent="0.35">
      <c r="A81" s="1" t="s">
        <v>139</v>
      </c>
      <c r="B81" s="2">
        <v>45613</v>
      </c>
      <c r="C81" s="1" t="s">
        <v>23</v>
      </c>
      <c r="D81" s="1" t="s">
        <v>19</v>
      </c>
      <c r="E81" s="1" t="s">
        <v>28</v>
      </c>
      <c r="F81" s="1">
        <v>3</v>
      </c>
      <c r="G81" s="5">
        <v>29.59</v>
      </c>
      <c r="H81" s="5">
        <v>88.77</v>
      </c>
      <c r="I81" s="1" t="s">
        <v>41</v>
      </c>
      <c r="J81" s="1" t="s">
        <v>16</v>
      </c>
      <c r="K81" s="1">
        <v>4</v>
      </c>
    </row>
    <row r="82" spans="1:11" x14ac:dyDescent="0.35">
      <c r="A82" s="1" t="s">
        <v>140</v>
      </c>
      <c r="B82" s="2">
        <v>45656</v>
      </c>
      <c r="C82" s="1" t="s">
        <v>18</v>
      </c>
      <c r="D82" s="1" t="s">
        <v>49</v>
      </c>
      <c r="E82" s="1" t="s">
        <v>99</v>
      </c>
      <c r="F82" s="1">
        <v>13</v>
      </c>
      <c r="G82" s="5">
        <v>56.78</v>
      </c>
      <c r="H82" s="5">
        <v>738.14</v>
      </c>
      <c r="I82" s="1" t="s">
        <v>21</v>
      </c>
      <c r="J82" s="1" t="s">
        <v>16</v>
      </c>
      <c r="K82" s="1">
        <v>4</v>
      </c>
    </row>
    <row r="83" spans="1:11" x14ac:dyDescent="0.35">
      <c r="A83" s="1" t="s">
        <v>141</v>
      </c>
      <c r="B83" s="2">
        <v>45501</v>
      </c>
      <c r="C83" s="1" t="s">
        <v>47</v>
      </c>
      <c r="D83" s="1" t="s">
        <v>39</v>
      </c>
      <c r="E83" s="1" t="s">
        <v>58</v>
      </c>
      <c r="F83" s="1">
        <v>7</v>
      </c>
      <c r="G83" s="5">
        <v>96.84</v>
      </c>
      <c r="H83" s="5">
        <v>677.88</v>
      </c>
      <c r="I83" s="1" t="s">
        <v>56</v>
      </c>
      <c r="J83" s="1" t="s">
        <v>16</v>
      </c>
      <c r="K83" s="1">
        <v>3</v>
      </c>
    </row>
    <row r="84" spans="1:11" x14ac:dyDescent="0.35">
      <c r="A84" s="1" t="s">
        <v>142</v>
      </c>
      <c r="B84" s="2">
        <v>45591</v>
      </c>
      <c r="C84" s="1" t="s">
        <v>23</v>
      </c>
      <c r="D84" s="1" t="s">
        <v>49</v>
      </c>
      <c r="E84" s="1" t="s">
        <v>50</v>
      </c>
      <c r="F84" s="1">
        <v>16</v>
      </c>
      <c r="G84" s="5">
        <v>18.2</v>
      </c>
      <c r="H84" s="5">
        <v>291.2</v>
      </c>
      <c r="I84" s="1" t="s">
        <v>29</v>
      </c>
      <c r="J84" s="1" t="s">
        <v>16</v>
      </c>
      <c r="K84" s="1">
        <v>4</v>
      </c>
    </row>
    <row r="85" spans="1:11" x14ac:dyDescent="0.35">
      <c r="A85" s="1" t="s">
        <v>143</v>
      </c>
      <c r="B85" s="2">
        <v>45561</v>
      </c>
      <c r="C85" s="1" t="s">
        <v>47</v>
      </c>
      <c r="D85" s="1" t="s">
        <v>39</v>
      </c>
      <c r="E85" s="1" t="s">
        <v>58</v>
      </c>
      <c r="F85" s="1">
        <v>5</v>
      </c>
      <c r="G85" s="5">
        <v>102.92</v>
      </c>
      <c r="H85" s="5">
        <v>514.6</v>
      </c>
      <c r="I85" s="1" t="s">
        <v>37</v>
      </c>
      <c r="J85" s="1" t="s">
        <v>16</v>
      </c>
      <c r="K85" s="1">
        <v>3</v>
      </c>
    </row>
    <row r="86" spans="1:11" x14ac:dyDescent="0.35">
      <c r="A86" s="1" t="s">
        <v>144</v>
      </c>
      <c r="B86" s="2">
        <v>45399</v>
      </c>
      <c r="C86" s="1" t="s">
        <v>23</v>
      </c>
      <c r="D86" s="1" t="s">
        <v>19</v>
      </c>
      <c r="E86" s="1" t="s">
        <v>61</v>
      </c>
      <c r="F86" s="1">
        <v>17</v>
      </c>
      <c r="G86" s="5">
        <v>70.61</v>
      </c>
      <c r="H86" s="5">
        <v>1200.3699999999999</v>
      </c>
      <c r="I86" s="1" t="s">
        <v>54</v>
      </c>
      <c r="J86" s="1" t="s">
        <v>16</v>
      </c>
      <c r="K86" s="1">
        <v>2</v>
      </c>
    </row>
    <row r="87" spans="1:11" x14ac:dyDescent="0.35">
      <c r="A87" s="1" t="s">
        <v>145</v>
      </c>
      <c r="B87" s="2">
        <v>45541</v>
      </c>
      <c r="C87" s="1" t="s">
        <v>23</v>
      </c>
      <c r="D87" s="1" t="s">
        <v>39</v>
      </c>
      <c r="E87" s="1" t="s">
        <v>58</v>
      </c>
      <c r="F87" s="1">
        <v>19</v>
      </c>
      <c r="G87" s="5">
        <v>94.76</v>
      </c>
      <c r="H87" s="5">
        <v>1800.44</v>
      </c>
      <c r="I87" s="1" t="s">
        <v>37</v>
      </c>
      <c r="J87" s="1" t="s">
        <v>16</v>
      </c>
      <c r="K87" s="1">
        <v>3</v>
      </c>
    </row>
    <row r="88" spans="1:11" x14ac:dyDescent="0.35">
      <c r="A88" s="1" t="s">
        <v>146</v>
      </c>
      <c r="B88" s="2">
        <v>45487</v>
      </c>
      <c r="C88" s="1" t="s">
        <v>12</v>
      </c>
      <c r="D88" s="1" t="s">
        <v>19</v>
      </c>
      <c r="E88" s="1" t="s">
        <v>28</v>
      </c>
      <c r="F88" s="1">
        <v>2</v>
      </c>
      <c r="G88" s="5">
        <v>28.1</v>
      </c>
      <c r="H88" s="5">
        <v>56.2</v>
      </c>
      <c r="I88" s="1" t="s">
        <v>56</v>
      </c>
      <c r="J88" s="1" t="s">
        <v>16</v>
      </c>
      <c r="K88" s="1">
        <v>3</v>
      </c>
    </row>
    <row r="89" spans="1:11" x14ac:dyDescent="0.35">
      <c r="A89" s="1" t="s">
        <v>147</v>
      </c>
      <c r="B89" s="2">
        <v>45485</v>
      </c>
      <c r="C89" s="1" t="s">
        <v>47</v>
      </c>
      <c r="D89" s="1" t="s">
        <v>49</v>
      </c>
      <c r="E89" s="1" t="s">
        <v>52</v>
      </c>
      <c r="F89" s="1">
        <v>18</v>
      </c>
      <c r="G89" s="5">
        <v>24.74</v>
      </c>
      <c r="H89" s="5">
        <v>445.32</v>
      </c>
      <c r="I89" s="1" t="s">
        <v>56</v>
      </c>
      <c r="J89" s="1" t="s">
        <v>16</v>
      </c>
      <c r="K89" s="1">
        <v>3</v>
      </c>
    </row>
    <row r="90" spans="1:11" x14ac:dyDescent="0.35">
      <c r="A90" s="1" t="s">
        <v>148</v>
      </c>
      <c r="B90" s="2">
        <v>45604</v>
      </c>
      <c r="C90" s="1" t="s">
        <v>12</v>
      </c>
      <c r="D90" s="1" t="s">
        <v>39</v>
      </c>
      <c r="E90" s="1" t="s">
        <v>58</v>
      </c>
      <c r="F90" s="1">
        <v>1</v>
      </c>
      <c r="G90" s="5">
        <v>106.86</v>
      </c>
      <c r="H90" s="5">
        <v>106.86</v>
      </c>
      <c r="I90" s="1" t="s">
        <v>41</v>
      </c>
      <c r="J90" s="1" t="s">
        <v>16</v>
      </c>
      <c r="K90" s="1">
        <v>4</v>
      </c>
    </row>
    <row r="91" spans="1:11" x14ac:dyDescent="0.35">
      <c r="A91" s="1" t="s">
        <v>149</v>
      </c>
      <c r="B91" s="2">
        <v>45521</v>
      </c>
      <c r="C91" s="1" t="s">
        <v>45</v>
      </c>
      <c r="D91" s="1" t="s">
        <v>19</v>
      </c>
      <c r="E91" s="1" t="s">
        <v>31</v>
      </c>
      <c r="F91" s="1">
        <v>7</v>
      </c>
      <c r="G91" s="5">
        <v>531.94000000000005</v>
      </c>
      <c r="H91" s="5">
        <v>3723.5800000000004</v>
      </c>
      <c r="I91" s="1" t="s">
        <v>62</v>
      </c>
      <c r="J91" s="1" t="s">
        <v>16</v>
      </c>
      <c r="K91" s="1">
        <v>3</v>
      </c>
    </row>
    <row r="92" spans="1:11" x14ac:dyDescent="0.35">
      <c r="A92" s="1" t="s">
        <v>150</v>
      </c>
      <c r="B92" s="2">
        <v>45434</v>
      </c>
      <c r="C92" s="1" t="s">
        <v>12</v>
      </c>
      <c r="D92" s="1" t="s">
        <v>39</v>
      </c>
      <c r="E92" s="1" t="s">
        <v>110</v>
      </c>
      <c r="F92" s="1">
        <v>16</v>
      </c>
      <c r="G92" s="5">
        <v>284.92</v>
      </c>
      <c r="H92" s="5">
        <v>4558.72</v>
      </c>
      <c r="I92" s="1" t="s">
        <v>59</v>
      </c>
      <c r="J92" s="1" t="s">
        <v>16</v>
      </c>
      <c r="K92" s="1">
        <v>2</v>
      </c>
    </row>
    <row r="93" spans="1:11" x14ac:dyDescent="0.35">
      <c r="A93" s="1" t="s">
        <v>151</v>
      </c>
      <c r="B93" s="2">
        <v>45648</v>
      </c>
      <c r="C93" s="1" t="s">
        <v>18</v>
      </c>
      <c r="D93" s="1" t="s">
        <v>24</v>
      </c>
      <c r="E93" s="1" t="s">
        <v>93</v>
      </c>
      <c r="F93" s="1">
        <v>5</v>
      </c>
      <c r="G93" s="5">
        <v>44.47</v>
      </c>
      <c r="H93" s="5">
        <v>222.35</v>
      </c>
      <c r="I93" s="1" t="s">
        <v>21</v>
      </c>
      <c r="J93" s="1" t="s">
        <v>16</v>
      </c>
      <c r="K93" s="1">
        <v>4</v>
      </c>
    </row>
    <row r="94" spans="1:11" x14ac:dyDescent="0.35">
      <c r="A94" s="1" t="s">
        <v>152</v>
      </c>
      <c r="B94" s="2">
        <v>45400</v>
      </c>
      <c r="C94" s="1" t="s">
        <v>45</v>
      </c>
      <c r="D94" s="1" t="s">
        <v>24</v>
      </c>
      <c r="E94" s="1" t="s">
        <v>73</v>
      </c>
      <c r="F94" s="1">
        <v>16</v>
      </c>
      <c r="G94" s="5">
        <v>140.24</v>
      </c>
      <c r="H94" s="5">
        <v>2243.84</v>
      </c>
      <c r="I94" s="1" t="s">
        <v>54</v>
      </c>
      <c r="J94" s="1" t="s">
        <v>16</v>
      </c>
      <c r="K94" s="1">
        <v>2</v>
      </c>
    </row>
    <row r="95" spans="1:11" x14ac:dyDescent="0.35">
      <c r="A95" s="1" t="s">
        <v>153</v>
      </c>
      <c r="B95" s="2">
        <v>45642</v>
      </c>
      <c r="C95" s="1" t="s">
        <v>23</v>
      </c>
      <c r="D95" s="1" t="s">
        <v>39</v>
      </c>
      <c r="E95" s="1" t="s">
        <v>40</v>
      </c>
      <c r="F95" s="1">
        <v>16</v>
      </c>
      <c r="G95" s="5">
        <v>151.85</v>
      </c>
      <c r="H95" s="5">
        <v>2429.6</v>
      </c>
      <c r="I95" s="1" t="s">
        <v>21</v>
      </c>
      <c r="J95" s="1" t="s">
        <v>16</v>
      </c>
      <c r="K95" s="1">
        <v>4</v>
      </c>
    </row>
    <row r="96" spans="1:11" x14ac:dyDescent="0.35">
      <c r="A96" s="1" t="s">
        <v>154</v>
      </c>
      <c r="B96" s="2">
        <v>45441</v>
      </c>
      <c r="C96" s="1" t="s">
        <v>23</v>
      </c>
      <c r="D96" s="1" t="s">
        <v>13</v>
      </c>
      <c r="E96" s="1" t="s">
        <v>14</v>
      </c>
      <c r="F96" s="1">
        <v>9</v>
      </c>
      <c r="G96" s="5">
        <v>150.56</v>
      </c>
      <c r="H96" s="5">
        <v>1355.04</v>
      </c>
      <c r="I96" s="1" t="s">
        <v>59</v>
      </c>
      <c r="J96" s="1" t="s">
        <v>16</v>
      </c>
      <c r="K96" s="1">
        <v>2</v>
      </c>
    </row>
    <row r="97" spans="1:11" x14ac:dyDescent="0.35">
      <c r="A97" s="1" t="s">
        <v>155</v>
      </c>
      <c r="B97" s="2">
        <v>45575</v>
      </c>
      <c r="C97" s="1" t="s">
        <v>47</v>
      </c>
      <c r="D97" s="1" t="s">
        <v>49</v>
      </c>
      <c r="E97" s="1" t="s">
        <v>99</v>
      </c>
      <c r="F97" s="1">
        <v>2</v>
      </c>
      <c r="G97" s="5">
        <v>61.68</v>
      </c>
      <c r="H97" s="5">
        <v>123.36</v>
      </c>
      <c r="I97" s="1" t="s">
        <v>29</v>
      </c>
      <c r="J97" s="1" t="s">
        <v>16</v>
      </c>
      <c r="K97" s="1">
        <v>4</v>
      </c>
    </row>
    <row r="98" spans="1:11" x14ac:dyDescent="0.35">
      <c r="A98" s="1" t="s">
        <v>156</v>
      </c>
      <c r="B98" s="2">
        <v>45628</v>
      </c>
      <c r="C98" s="1" t="s">
        <v>45</v>
      </c>
      <c r="D98" s="1" t="s">
        <v>24</v>
      </c>
      <c r="E98" s="1" t="s">
        <v>70</v>
      </c>
      <c r="F98" s="1">
        <v>5</v>
      </c>
      <c r="G98" s="5">
        <v>1265.21</v>
      </c>
      <c r="H98" s="5">
        <v>6326.05</v>
      </c>
      <c r="I98" s="1" t="s">
        <v>21</v>
      </c>
      <c r="J98" s="1" t="s">
        <v>16</v>
      </c>
      <c r="K98" s="1">
        <v>4</v>
      </c>
    </row>
    <row r="99" spans="1:11" x14ac:dyDescent="0.35">
      <c r="A99" s="1" t="s">
        <v>157</v>
      </c>
      <c r="B99" s="2">
        <v>45378</v>
      </c>
      <c r="C99" s="1" t="s">
        <v>12</v>
      </c>
      <c r="D99" s="1" t="s">
        <v>13</v>
      </c>
      <c r="E99" s="1" t="s">
        <v>14</v>
      </c>
      <c r="F99" s="1">
        <v>18</v>
      </c>
      <c r="G99" s="5">
        <v>142.69999999999999</v>
      </c>
      <c r="H99" s="5">
        <v>2568.6</v>
      </c>
      <c r="I99" s="1" t="s">
        <v>26</v>
      </c>
      <c r="J99" s="1" t="s">
        <v>16</v>
      </c>
      <c r="K99" s="1">
        <v>1</v>
      </c>
    </row>
    <row r="100" spans="1:11" x14ac:dyDescent="0.35">
      <c r="A100" s="1" t="s">
        <v>158</v>
      </c>
      <c r="B100" s="2">
        <v>45656</v>
      </c>
      <c r="C100" s="1" t="s">
        <v>23</v>
      </c>
      <c r="D100" s="1" t="s">
        <v>19</v>
      </c>
      <c r="E100" s="1" t="s">
        <v>31</v>
      </c>
      <c r="F100" s="1">
        <v>17</v>
      </c>
      <c r="G100" s="5">
        <v>584.59</v>
      </c>
      <c r="H100" s="5">
        <v>9938.0300000000007</v>
      </c>
      <c r="I100" s="1" t="s">
        <v>21</v>
      </c>
      <c r="J100" s="1" t="s">
        <v>16</v>
      </c>
      <c r="K100" s="1">
        <v>4</v>
      </c>
    </row>
    <row r="101" spans="1:11" x14ac:dyDescent="0.35">
      <c r="A101" s="1" t="s">
        <v>159</v>
      </c>
      <c r="B101" s="2">
        <v>45533</v>
      </c>
      <c r="C101" s="1" t="s">
        <v>45</v>
      </c>
      <c r="D101" s="1" t="s">
        <v>49</v>
      </c>
      <c r="E101" s="1" t="s">
        <v>115</v>
      </c>
      <c r="F101" s="1">
        <v>5</v>
      </c>
      <c r="G101" s="5">
        <v>22.17</v>
      </c>
      <c r="H101" s="5">
        <v>110.85000000000001</v>
      </c>
      <c r="I101" s="1" t="s">
        <v>62</v>
      </c>
      <c r="J101" s="1" t="s">
        <v>16</v>
      </c>
      <c r="K101" s="1">
        <v>3</v>
      </c>
    </row>
    <row r="102" spans="1:11" x14ac:dyDescent="0.35">
      <c r="A102" s="1" t="s">
        <v>160</v>
      </c>
      <c r="B102" s="2">
        <v>45629</v>
      </c>
      <c r="C102" s="1" t="s">
        <v>45</v>
      </c>
      <c r="D102" s="1" t="s">
        <v>13</v>
      </c>
      <c r="E102" s="1" t="s">
        <v>101</v>
      </c>
      <c r="F102" s="1">
        <v>1</v>
      </c>
      <c r="G102" s="5">
        <v>53.14</v>
      </c>
      <c r="H102" s="5">
        <v>53.14</v>
      </c>
      <c r="I102" s="1" t="s">
        <v>21</v>
      </c>
      <c r="J102" s="1" t="s">
        <v>16</v>
      </c>
      <c r="K102" s="1">
        <v>4</v>
      </c>
    </row>
    <row r="103" spans="1:11" x14ac:dyDescent="0.35">
      <c r="A103" s="1" t="s">
        <v>161</v>
      </c>
      <c r="B103" s="2">
        <v>45640</v>
      </c>
      <c r="C103" s="1" t="s">
        <v>12</v>
      </c>
      <c r="D103" s="1" t="s">
        <v>24</v>
      </c>
      <c r="E103" s="1" t="s">
        <v>70</v>
      </c>
      <c r="F103" s="1">
        <v>11</v>
      </c>
      <c r="G103" s="5">
        <v>1286.01</v>
      </c>
      <c r="H103" s="5">
        <v>14146.11</v>
      </c>
      <c r="I103" s="1" t="s">
        <v>21</v>
      </c>
      <c r="J103" s="1" t="s">
        <v>16</v>
      </c>
      <c r="K103" s="1">
        <v>4</v>
      </c>
    </row>
    <row r="104" spans="1:11" x14ac:dyDescent="0.35">
      <c r="A104" s="1" t="s">
        <v>162</v>
      </c>
      <c r="B104" s="2">
        <v>45299</v>
      </c>
      <c r="C104" s="1" t="s">
        <v>47</v>
      </c>
      <c r="D104" s="1" t="s">
        <v>19</v>
      </c>
      <c r="E104" s="1" t="s">
        <v>31</v>
      </c>
      <c r="F104" s="1">
        <v>14</v>
      </c>
      <c r="G104" s="5">
        <v>561.54</v>
      </c>
      <c r="H104" s="5">
        <v>7861.5599999999995</v>
      </c>
      <c r="I104" s="1" t="s">
        <v>90</v>
      </c>
      <c r="J104" s="1" t="s">
        <v>16</v>
      </c>
      <c r="K104" s="1">
        <v>1</v>
      </c>
    </row>
    <row r="105" spans="1:11" x14ac:dyDescent="0.35">
      <c r="A105" s="1" t="s">
        <v>163</v>
      </c>
      <c r="B105" s="2">
        <v>45477</v>
      </c>
      <c r="C105" s="1" t="s">
        <v>12</v>
      </c>
      <c r="D105" s="1" t="s">
        <v>19</v>
      </c>
      <c r="E105" s="1" t="s">
        <v>28</v>
      </c>
      <c r="F105" s="1">
        <v>6</v>
      </c>
      <c r="G105" s="5">
        <v>30.74</v>
      </c>
      <c r="H105" s="5">
        <v>184.44</v>
      </c>
      <c r="I105" s="1" t="s">
        <v>56</v>
      </c>
      <c r="J105" s="1" t="s">
        <v>16</v>
      </c>
      <c r="K105" s="1">
        <v>3</v>
      </c>
    </row>
    <row r="106" spans="1:11" x14ac:dyDescent="0.35">
      <c r="A106" s="1" t="s">
        <v>164</v>
      </c>
      <c r="B106" s="2">
        <v>45388</v>
      </c>
      <c r="C106" s="1" t="s">
        <v>45</v>
      </c>
      <c r="D106" s="1" t="s">
        <v>13</v>
      </c>
      <c r="E106" s="1" t="s">
        <v>14</v>
      </c>
      <c r="F106" s="1">
        <v>8</v>
      </c>
      <c r="G106" s="5">
        <v>149.9</v>
      </c>
      <c r="H106" s="5">
        <v>1199.2</v>
      </c>
      <c r="I106" s="1" t="s">
        <v>54</v>
      </c>
      <c r="J106" s="1" t="s">
        <v>16</v>
      </c>
      <c r="K106" s="1">
        <v>2</v>
      </c>
    </row>
    <row r="107" spans="1:11" x14ac:dyDescent="0.35">
      <c r="A107" s="1" t="s">
        <v>165</v>
      </c>
      <c r="B107" s="2">
        <v>45376</v>
      </c>
      <c r="C107" s="1" t="s">
        <v>47</v>
      </c>
      <c r="D107" s="1" t="s">
        <v>49</v>
      </c>
      <c r="E107" s="1" t="s">
        <v>52</v>
      </c>
      <c r="F107" s="1">
        <v>8</v>
      </c>
      <c r="G107" s="5">
        <v>24.99</v>
      </c>
      <c r="H107" s="5">
        <v>199.92</v>
      </c>
      <c r="I107" s="1" t="s">
        <v>26</v>
      </c>
      <c r="J107" s="1" t="s">
        <v>16</v>
      </c>
      <c r="K107" s="1">
        <v>1</v>
      </c>
    </row>
    <row r="108" spans="1:11" x14ac:dyDescent="0.35">
      <c r="A108" s="1" t="s">
        <v>166</v>
      </c>
      <c r="B108" s="2">
        <v>45369</v>
      </c>
      <c r="C108" s="1" t="s">
        <v>12</v>
      </c>
      <c r="D108" s="1" t="s">
        <v>13</v>
      </c>
      <c r="E108" s="1" t="s">
        <v>14</v>
      </c>
      <c r="F108" s="1">
        <v>7</v>
      </c>
      <c r="G108" s="5">
        <v>133.86000000000001</v>
      </c>
      <c r="H108" s="5">
        <v>937.0200000000001</v>
      </c>
      <c r="I108" s="1" t="s">
        <v>26</v>
      </c>
      <c r="J108" s="1" t="s">
        <v>16</v>
      </c>
      <c r="K108" s="1">
        <v>1</v>
      </c>
    </row>
    <row r="109" spans="1:11" x14ac:dyDescent="0.35">
      <c r="A109" s="1" t="s">
        <v>167</v>
      </c>
      <c r="B109" s="2">
        <v>45637</v>
      </c>
      <c r="C109" s="1" t="s">
        <v>18</v>
      </c>
      <c r="D109" s="1" t="s">
        <v>13</v>
      </c>
      <c r="E109" s="1" t="s">
        <v>64</v>
      </c>
      <c r="F109" s="1">
        <v>9</v>
      </c>
      <c r="G109" s="5">
        <v>185.52</v>
      </c>
      <c r="H109" s="5">
        <v>1669.68</v>
      </c>
      <c r="I109" s="1" t="s">
        <v>21</v>
      </c>
      <c r="J109" s="1" t="s">
        <v>16</v>
      </c>
      <c r="K109" s="1">
        <v>4</v>
      </c>
    </row>
    <row r="110" spans="1:11" x14ac:dyDescent="0.35">
      <c r="A110" s="1" t="s">
        <v>168</v>
      </c>
      <c r="B110" s="2">
        <v>45376</v>
      </c>
      <c r="C110" s="1" t="s">
        <v>23</v>
      </c>
      <c r="D110" s="1" t="s">
        <v>49</v>
      </c>
      <c r="E110" s="1" t="s">
        <v>52</v>
      </c>
      <c r="F110" s="1">
        <v>11</v>
      </c>
      <c r="G110" s="5">
        <v>26.77</v>
      </c>
      <c r="H110" s="5">
        <v>294.46999999999997</v>
      </c>
      <c r="I110" s="1" t="s">
        <v>26</v>
      </c>
      <c r="J110" s="1" t="s">
        <v>16</v>
      </c>
      <c r="K110" s="1">
        <v>1</v>
      </c>
    </row>
    <row r="111" spans="1:11" x14ac:dyDescent="0.35">
      <c r="A111" s="1" t="s">
        <v>169</v>
      </c>
      <c r="B111" s="2">
        <v>45598</v>
      </c>
      <c r="C111" s="1" t="s">
        <v>12</v>
      </c>
      <c r="D111" s="1" t="s">
        <v>13</v>
      </c>
      <c r="E111" s="1" t="s">
        <v>14</v>
      </c>
      <c r="F111" s="1">
        <v>18</v>
      </c>
      <c r="G111" s="5">
        <v>142.61000000000001</v>
      </c>
      <c r="H111" s="5">
        <v>2566.9800000000005</v>
      </c>
      <c r="I111" s="1" t="s">
        <v>41</v>
      </c>
      <c r="J111" s="1" t="s">
        <v>16</v>
      </c>
      <c r="K111" s="1">
        <v>4</v>
      </c>
    </row>
    <row r="112" spans="1:11" x14ac:dyDescent="0.35">
      <c r="A112" s="1" t="s">
        <v>170</v>
      </c>
      <c r="B112" s="2">
        <v>45593</v>
      </c>
      <c r="C112" s="1" t="s">
        <v>18</v>
      </c>
      <c r="D112" s="1" t="s">
        <v>19</v>
      </c>
      <c r="E112" s="1" t="s">
        <v>20</v>
      </c>
      <c r="F112" s="1">
        <v>8</v>
      </c>
      <c r="G112" s="5">
        <v>84.65</v>
      </c>
      <c r="H112" s="5">
        <v>677.2</v>
      </c>
      <c r="I112" s="1" t="s">
        <v>29</v>
      </c>
      <c r="J112" s="1" t="s">
        <v>16</v>
      </c>
      <c r="K112" s="1">
        <v>4</v>
      </c>
    </row>
    <row r="113" spans="1:11" x14ac:dyDescent="0.35">
      <c r="A113" s="1" t="s">
        <v>171</v>
      </c>
      <c r="B113" s="2">
        <v>45382</v>
      </c>
      <c r="C113" s="1" t="s">
        <v>18</v>
      </c>
      <c r="D113" s="1" t="s">
        <v>19</v>
      </c>
      <c r="E113" s="1" t="s">
        <v>31</v>
      </c>
      <c r="F113" s="1">
        <v>4</v>
      </c>
      <c r="G113" s="5">
        <v>553.45000000000005</v>
      </c>
      <c r="H113" s="5">
        <v>2213.8000000000002</v>
      </c>
      <c r="I113" s="1" t="s">
        <v>26</v>
      </c>
      <c r="J113" s="1" t="s">
        <v>16</v>
      </c>
      <c r="K113" s="1">
        <v>1</v>
      </c>
    </row>
    <row r="114" spans="1:11" x14ac:dyDescent="0.35">
      <c r="A114" s="1" t="s">
        <v>172</v>
      </c>
      <c r="B114" s="2">
        <v>45479</v>
      </c>
      <c r="C114" s="1" t="s">
        <v>12</v>
      </c>
      <c r="D114" s="1" t="s">
        <v>39</v>
      </c>
      <c r="E114" s="1" t="s">
        <v>86</v>
      </c>
      <c r="F114" s="1">
        <v>10</v>
      </c>
      <c r="G114" s="5">
        <v>189.37</v>
      </c>
      <c r="H114" s="5">
        <v>1893.7</v>
      </c>
      <c r="I114" s="1" t="s">
        <v>56</v>
      </c>
      <c r="J114" s="1" t="s">
        <v>16</v>
      </c>
      <c r="K114" s="1">
        <v>3</v>
      </c>
    </row>
    <row r="115" spans="1:11" x14ac:dyDescent="0.35">
      <c r="A115" s="1" t="s">
        <v>173</v>
      </c>
      <c r="B115" s="2">
        <v>45531</v>
      </c>
      <c r="C115" s="1" t="s">
        <v>12</v>
      </c>
      <c r="D115" s="1" t="s">
        <v>39</v>
      </c>
      <c r="E115" s="1" t="s">
        <v>40</v>
      </c>
      <c r="F115" s="1">
        <v>1</v>
      </c>
      <c r="G115" s="5">
        <v>143.56</v>
      </c>
      <c r="H115" s="5">
        <v>143.56</v>
      </c>
      <c r="I115" s="1" t="s">
        <v>62</v>
      </c>
      <c r="J115" s="1" t="s">
        <v>16</v>
      </c>
      <c r="K115" s="1">
        <v>3</v>
      </c>
    </row>
    <row r="116" spans="1:11" x14ac:dyDescent="0.35">
      <c r="A116" s="1" t="s">
        <v>174</v>
      </c>
      <c r="B116" s="2">
        <v>45534</v>
      </c>
      <c r="C116" s="1" t="s">
        <v>23</v>
      </c>
      <c r="D116" s="1" t="s">
        <v>13</v>
      </c>
      <c r="E116" s="1" t="s">
        <v>101</v>
      </c>
      <c r="F116" s="1">
        <v>8</v>
      </c>
      <c r="G116" s="5">
        <v>51.85</v>
      </c>
      <c r="H116" s="5">
        <v>414.8</v>
      </c>
      <c r="I116" s="1" t="s">
        <v>62</v>
      </c>
      <c r="J116" s="1" t="s">
        <v>16</v>
      </c>
      <c r="K116" s="1">
        <v>3</v>
      </c>
    </row>
    <row r="117" spans="1:11" x14ac:dyDescent="0.35">
      <c r="A117" s="1" t="s">
        <v>175</v>
      </c>
      <c r="B117" s="2">
        <v>45424</v>
      </c>
      <c r="C117" s="1" t="s">
        <v>45</v>
      </c>
      <c r="D117" s="1" t="s">
        <v>39</v>
      </c>
      <c r="E117" s="1" t="s">
        <v>86</v>
      </c>
      <c r="F117" s="1">
        <v>9</v>
      </c>
      <c r="G117" s="5">
        <v>210.93</v>
      </c>
      <c r="H117" s="5">
        <v>1898.3700000000001</v>
      </c>
      <c r="I117" s="1" t="s">
        <v>59</v>
      </c>
      <c r="J117" s="1" t="s">
        <v>16</v>
      </c>
      <c r="K117" s="1">
        <v>2</v>
      </c>
    </row>
    <row r="118" spans="1:11" x14ac:dyDescent="0.35">
      <c r="A118" s="1" t="s">
        <v>176</v>
      </c>
      <c r="B118" s="2">
        <v>45549</v>
      </c>
      <c r="C118" s="1" t="s">
        <v>47</v>
      </c>
      <c r="D118" s="1" t="s">
        <v>39</v>
      </c>
      <c r="E118" s="1" t="s">
        <v>76</v>
      </c>
      <c r="F118" s="1">
        <v>20</v>
      </c>
      <c r="G118" s="5">
        <v>56.82</v>
      </c>
      <c r="H118" s="5">
        <v>1136.4000000000001</v>
      </c>
      <c r="I118" s="1" t="s">
        <v>37</v>
      </c>
      <c r="J118" s="1" t="s">
        <v>16</v>
      </c>
      <c r="K118" s="1">
        <v>3</v>
      </c>
    </row>
    <row r="119" spans="1:11" x14ac:dyDescent="0.35">
      <c r="A119" s="1" t="s">
        <v>177</v>
      </c>
      <c r="B119" s="2">
        <v>45320</v>
      </c>
      <c r="C119" s="1" t="s">
        <v>45</v>
      </c>
      <c r="D119" s="1" t="s">
        <v>39</v>
      </c>
      <c r="E119" s="1" t="s">
        <v>86</v>
      </c>
      <c r="F119" s="1">
        <v>17</v>
      </c>
      <c r="G119" s="5">
        <v>217.65</v>
      </c>
      <c r="H119" s="5">
        <v>3700.05</v>
      </c>
      <c r="I119" s="1" t="s">
        <v>90</v>
      </c>
      <c r="J119" s="1" t="s">
        <v>16</v>
      </c>
      <c r="K119" s="1">
        <v>1</v>
      </c>
    </row>
    <row r="120" spans="1:11" x14ac:dyDescent="0.35">
      <c r="A120" s="1" t="s">
        <v>178</v>
      </c>
      <c r="B120" s="2">
        <v>45425</v>
      </c>
      <c r="C120" s="1" t="s">
        <v>12</v>
      </c>
      <c r="D120" s="1" t="s">
        <v>19</v>
      </c>
      <c r="E120" s="1" t="s">
        <v>28</v>
      </c>
      <c r="F120" s="1">
        <v>9</v>
      </c>
      <c r="G120" s="5">
        <v>31.7</v>
      </c>
      <c r="H120" s="5">
        <v>285.3</v>
      </c>
      <c r="I120" s="1" t="s">
        <v>59</v>
      </c>
      <c r="J120" s="1" t="s">
        <v>16</v>
      </c>
      <c r="K120" s="1">
        <v>2</v>
      </c>
    </row>
    <row r="121" spans="1:11" x14ac:dyDescent="0.35">
      <c r="A121" s="1" t="s">
        <v>179</v>
      </c>
      <c r="B121" s="2">
        <v>45312</v>
      </c>
      <c r="C121" s="1" t="s">
        <v>23</v>
      </c>
      <c r="D121" s="1" t="s">
        <v>39</v>
      </c>
      <c r="E121" s="1" t="s">
        <v>76</v>
      </c>
      <c r="F121" s="1">
        <v>14</v>
      </c>
      <c r="G121" s="5">
        <v>62.59</v>
      </c>
      <c r="H121" s="5">
        <v>876.26</v>
      </c>
      <c r="I121" s="1" t="s">
        <v>90</v>
      </c>
      <c r="J121" s="1" t="s">
        <v>16</v>
      </c>
      <c r="K121" s="1">
        <v>1</v>
      </c>
    </row>
    <row r="122" spans="1:11" x14ac:dyDescent="0.35">
      <c r="A122" s="1" t="s">
        <v>180</v>
      </c>
      <c r="B122" s="2">
        <v>45559</v>
      </c>
      <c r="C122" s="1" t="s">
        <v>45</v>
      </c>
      <c r="D122" s="1" t="s">
        <v>39</v>
      </c>
      <c r="E122" s="1" t="s">
        <v>40</v>
      </c>
      <c r="F122" s="1">
        <v>10</v>
      </c>
      <c r="G122" s="5">
        <v>145.13</v>
      </c>
      <c r="H122" s="5">
        <v>1451.3</v>
      </c>
      <c r="I122" s="1" t="s">
        <v>37</v>
      </c>
      <c r="J122" s="1" t="s">
        <v>16</v>
      </c>
      <c r="K122" s="1">
        <v>3</v>
      </c>
    </row>
    <row r="123" spans="1:11" x14ac:dyDescent="0.35">
      <c r="A123" s="1" t="s">
        <v>181</v>
      </c>
      <c r="B123" s="2">
        <v>45638</v>
      </c>
      <c r="C123" s="1" t="s">
        <v>23</v>
      </c>
      <c r="D123" s="1" t="s">
        <v>13</v>
      </c>
      <c r="E123" s="1" t="s">
        <v>14</v>
      </c>
      <c r="F123" s="1">
        <v>7</v>
      </c>
      <c r="G123" s="5">
        <v>152.01</v>
      </c>
      <c r="H123" s="5">
        <v>1064.07</v>
      </c>
      <c r="I123" s="1" t="s">
        <v>21</v>
      </c>
      <c r="J123" s="1" t="s">
        <v>16</v>
      </c>
      <c r="K123" s="1">
        <v>4</v>
      </c>
    </row>
    <row r="124" spans="1:11" x14ac:dyDescent="0.35">
      <c r="A124" s="1" t="s">
        <v>182</v>
      </c>
      <c r="B124" s="2">
        <v>45636</v>
      </c>
      <c r="C124" s="1" t="s">
        <v>45</v>
      </c>
      <c r="D124" s="1" t="s">
        <v>19</v>
      </c>
      <c r="E124" s="1" t="s">
        <v>20</v>
      </c>
      <c r="F124" s="1">
        <v>18</v>
      </c>
      <c r="G124" s="5">
        <v>93.82</v>
      </c>
      <c r="H124" s="5">
        <v>1688.7599999999998</v>
      </c>
      <c r="I124" s="1" t="s">
        <v>21</v>
      </c>
      <c r="J124" s="1" t="s">
        <v>16</v>
      </c>
      <c r="K124" s="1">
        <v>4</v>
      </c>
    </row>
    <row r="125" spans="1:11" x14ac:dyDescent="0.35">
      <c r="A125" s="1" t="s">
        <v>183</v>
      </c>
      <c r="B125" s="2">
        <v>45630</v>
      </c>
      <c r="C125" s="1" t="s">
        <v>18</v>
      </c>
      <c r="D125" s="1" t="s">
        <v>19</v>
      </c>
      <c r="E125" s="1" t="s">
        <v>28</v>
      </c>
      <c r="F125" s="1">
        <v>10</v>
      </c>
      <c r="G125" s="5">
        <v>28.75</v>
      </c>
      <c r="H125" s="5">
        <v>287.5</v>
      </c>
      <c r="I125" s="1" t="s">
        <v>21</v>
      </c>
      <c r="J125" s="1" t="s">
        <v>16</v>
      </c>
      <c r="K125" s="1">
        <v>4</v>
      </c>
    </row>
    <row r="126" spans="1:11" x14ac:dyDescent="0.35">
      <c r="A126" s="1" t="s">
        <v>184</v>
      </c>
      <c r="B126" s="2">
        <v>45335</v>
      </c>
      <c r="C126" s="1" t="s">
        <v>23</v>
      </c>
      <c r="D126" s="1" t="s">
        <v>19</v>
      </c>
      <c r="E126" s="1" t="s">
        <v>61</v>
      </c>
      <c r="F126" s="1">
        <v>7</v>
      </c>
      <c r="G126" s="5">
        <v>69.819999999999993</v>
      </c>
      <c r="H126" s="5">
        <v>488.73999999999995</v>
      </c>
      <c r="I126" s="1" t="s">
        <v>67</v>
      </c>
      <c r="J126" s="1" t="s">
        <v>16</v>
      </c>
      <c r="K126" s="1">
        <v>1</v>
      </c>
    </row>
    <row r="127" spans="1:11" x14ac:dyDescent="0.35">
      <c r="A127" s="1" t="s">
        <v>185</v>
      </c>
      <c r="B127" s="2">
        <v>45625</v>
      </c>
      <c r="C127" s="1" t="s">
        <v>12</v>
      </c>
      <c r="D127" s="1" t="s">
        <v>13</v>
      </c>
      <c r="E127" s="1" t="s">
        <v>64</v>
      </c>
      <c r="F127" s="1">
        <v>1</v>
      </c>
      <c r="G127" s="5">
        <v>182.78</v>
      </c>
      <c r="H127" s="5">
        <v>182.78</v>
      </c>
      <c r="I127" s="1" t="s">
        <v>41</v>
      </c>
      <c r="J127" s="1" t="s">
        <v>16</v>
      </c>
      <c r="K127" s="1">
        <v>4</v>
      </c>
    </row>
    <row r="128" spans="1:11" x14ac:dyDescent="0.35">
      <c r="A128" s="1" t="s">
        <v>186</v>
      </c>
      <c r="B128" s="2">
        <v>45533</v>
      </c>
      <c r="C128" s="1" t="s">
        <v>47</v>
      </c>
      <c r="D128" s="1" t="s">
        <v>19</v>
      </c>
      <c r="E128" s="1" t="s">
        <v>83</v>
      </c>
      <c r="F128" s="1">
        <v>18</v>
      </c>
      <c r="G128" s="5">
        <v>437.58</v>
      </c>
      <c r="H128" s="5">
        <v>7876.44</v>
      </c>
      <c r="I128" s="1" t="s">
        <v>62</v>
      </c>
      <c r="J128" s="1" t="s">
        <v>16</v>
      </c>
      <c r="K128" s="1">
        <v>3</v>
      </c>
    </row>
    <row r="129" spans="1:11" x14ac:dyDescent="0.35">
      <c r="A129" s="1" t="s">
        <v>187</v>
      </c>
      <c r="B129" s="2">
        <v>45445</v>
      </c>
      <c r="C129" s="1" t="s">
        <v>45</v>
      </c>
      <c r="D129" s="1" t="s">
        <v>13</v>
      </c>
      <c r="E129" s="1" t="s">
        <v>119</v>
      </c>
      <c r="F129" s="1">
        <v>10</v>
      </c>
      <c r="G129" s="5">
        <v>240.2</v>
      </c>
      <c r="H129" s="5">
        <v>2402</v>
      </c>
      <c r="I129" s="1" t="s">
        <v>15</v>
      </c>
      <c r="J129" s="1" t="s">
        <v>16</v>
      </c>
      <c r="K129" s="1">
        <v>2</v>
      </c>
    </row>
    <row r="130" spans="1:11" x14ac:dyDescent="0.35">
      <c r="A130" s="1" t="s">
        <v>188</v>
      </c>
      <c r="B130" s="2">
        <v>45445</v>
      </c>
      <c r="C130" s="1" t="s">
        <v>47</v>
      </c>
      <c r="D130" s="1" t="s">
        <v>49</v>
      </c>
      <c r="E130" s="1" t="s">
        <v>50</v>
      </c>
      <c r="F130" s="1">
        <v>17</v>
      </c>
      <c r="G130" s="5">
        <v>19.68</v>
      </c>
      <c r="H130" s="5">
        <v>334.56</v>
      </c>
      <c r="I130" s="1" t="s">
        <v>15</v>
      </c>
      <c r="J130" s="1" t="s">
        <v>16</v>
      </c>
      <c r="K130" s="1">
        <v>2</v>
      </c>
    </row>
    <row r="131" spans="1:11" x14ac:dyDescent="0.35">
      <c r="A131" s="1" t="s">
        <v>189</v>
      </c>
      <c r="B131" s="2">
        <v>45466</v>
      </c>
      <c r="C131" s="1" t="s">
        <v>18</v>
      </c>
      <c r="D131" s="1" t="s">
        <v>19</v>
      </c>
      <c r="E131" s="1" t="s">
        <v>61</v>
      </c>
      <c r="F131" s="1">
        <v>11</v>
      </c>
      <c r="G131" s="5">
        <v>73.150000000000006</v>
      </c>
      <c r="H131" s="5">
        <v>804.65000000000009</v>
      </c>
      <c r="I131" s="1" t="s">
        <v>15</v>
      </c>
      <c r="J131" s="1" t="s">
        <v>16</v>
      </c>
      <c r="K131" s="1">
        <v>2</v>
      </c>
    </row>
    <row r="132" spans="1:11" x14ac:dyDescent="0.35">
      <c r="A132" s="1" t="s">
        <v>190</v>
      </c>
      <c r="B132" s="2">
        <v>45613</v>
      </c>
      <c r="C132" s="1" t="s">
        <v>12</v>
      </c>
      <c r="D132" s="1" t="s">
        <v>49</v>
      </c>
      <c r="E132" s="1" t="s">
        <v>115</v>
      </c>
      <c r="F132" s="1">
        <v>19</v>
      </c>
      <c r="G132" s="5">
        <v>22.38</v>
      </c>
      <c r="H132" s="5">
        <v>425.21999999999997</v>
      </c>
      <c r="I132" s="1" t="s">
        <v>41</v>
      </c>
      <c r="J132" s="1" t="s">
        <v>16</v>
      </c>
      <c r="K132" s="1">
        <v>4</v>
      </c>
    </row>
    <row r="133" spans="1:11" x14ac:dyDescent="0.35">
      <c r="A133" s="1" t="s">
        <v>191</v>
      </c>
      <c r="B133" s="2">
        <v>45414</v>
      </c>
      <c r="C133" s="1" t="s">
        <v>12</v>
      </c>
      <c r="D133" s="1" t="s">
        <v>49</v>
      </c>
      <c r="E133" s="1" t="s">
        <v>50</v>
      </c>
      <c r="F133" s="1">
        <v>8</v>
      </c>
      <c r="G133" s="5">
        <v>19.47</v>
      </c>
      <c r="H133" s="5">
        <v>155.76</v>
      </c>
      <c r="I133" s="1" t="s">
        <v>59</v>
      </c>
      <c r="J133" s="1" t="s">
        <v>16</v>
      </c>
      <c r="K133" s="1">
        <v>2</v>
      </c>
    </row>
    <row r="134" spans="1:11" x14ac:dyDescent="0.35">
      <c r="A134" s="1" t="s">
        <v>192</v>
      </c>
      <c r="B134" s="2">
        <v>45554</v>
      </c>
      <c r="C134" s="1" t="s">
        <v>23</v>
      </c>
      <c r="D134" s="1" t="s">
        <v>13</v>
      </c>
      <c r="E134" s="1" t="s">
        <v>36</v>
      </c>
      <c r="F134" s="1">
        <v>18</v>
      </c>
      <c r="G134" s="5">
        <v>18.809999999999999</v>
      </c>
      <c r="H134" s="5">
        <v>338.58</v>
      </c>
      <c r="I134" s="1" t="s">
        <v>37</v>
      </c>
      <c r="J134" s="1" t="s">
        <v>16</v>
      </c>
      <c r="K134" s="1">
        <v>3</v>
      </c>
    </row>
    <row r="135" spans="1:11" x14ac:dyDescent="0.35">
      <c r="A135" s="1" t="s">
        <v>193</v>
      </c>
      <c r="B135" s="2">
        <v>45595</v>
      </c>
      <c r="C135" s="1" t="s">
        <v>45</v>
      </c>
      <c r="D135" s="1" t="s">
        <v>24</v>
      </c>
      <c r="E135" s="1" t="s">
        <v>73</v>
      </c>
      <c r="F135" s="1">
        <v>10</v>
      </c>
      <c r="G135" s="5">
        <v>139</v>
      </c>
      <c r="H135" s="5">
        <v>1390</v>
      </c>
      <c r="I135" s="1" t="s">
        <v>29</v>
      </c>
      <c r="J135" s="1" t="s">
        <v>16</v>
      </c>
      <c r="K135" s="1">
        <v>4</v>
      </c>
    </row>
    <row r="136" spans="1:11" x14ac:dyDescent="0.35">
      <c r="A136" s="1" t="s">
        <v>194</v>
      </c>
      <c r="B136" s="2">
        <v>45376</v>
      </c>
      <c r="C136" s="1" t="s">
        <v>12</v>
      </c>
      <c r="D136" s="1" t="s">
        <v>24</v>
      </c>
      <c r="E136" s="1" t="s">
        <v>93</v>
      </c>
      <c r="F136" s="1">
        <v>12</v>
      </c>
      <c r="G136" s="5">
        <v>47.32</v>
      </c>
      <c r="H136" s="5">
        <v>567.84</v>
      </c>
      <c r="I136" s="1" t="s">
        <v>26</v>
      </c>
      <c r="J136" s="1" t="s">
        <v>16</v>
      </c>
      <c r="K136" s="1">
        <v>1</v>
      </c>
    </row>
    <row r="137" spans="1:11" x14ac:dyDescent="0.35">
      <c r="A137" s="1" t="s">
        <v>195</v>
      </c>
      <c r="B137" s="2">
        <v>45622</v>
      </c>
      <c r="C137" s="1" t="s">
        <v>12</v>
      </c>
      <c r="D137" s="1" t="s">
        <v>39</v>
      </c>
      <c r="E137" s="1" t="s">
        <v>40</v>
      </c>
      <c r="F137" s="1">
        <v>4</v>
      </c>
      <c r="G137" s="5">
        <v>141.79</v>
      </c>
      <c r="H137" s="5">
        <v>567.16</v>
      </c>
      <c r="I137" s="1" t="s">
        <v>41</v>
      </c>
      <c r="J137" s="1" t="s">
        <v>16</v>
      </c>
      <c r="K137" s="1">
        <v>4</v>
      </c>
    </row>
    <row r="138" spans="1:11" x14ac:dyDescent="0.35">
      <c r="A138" s="1" t="s">
        <v>196</v>
      </c>
      <c r="B138" s="2">
        <v>45324</v>
      </c>
      <c r="C138" s="1" t="s">
        <v>18</v>
      </c>
      <c r="D138" s="1" t="s">
        <v>24</v>
      </c>
      <c r="E138" s="1" t="s">
        <v>43</v>
      </c>
      <c r="F138" s="1">
        <v>6</v>
      </c>
      <c r="G138" s="5">
        <v>79.38</v>
      </c>
      <c r="H138" s="5">
        <v>476.28</v>
      </c>
      <c r="I138" s="1" t="s">
        <v>67</v>
      </c>
      <c r="J138" s="1" t="s">
        <v>16</v>
      </c>
      <c r="K138" s="1">
        <v>1</v>
      </c>
    </row>
    <row r="139" spans="1:11" x14ac:dyDescent="0.35">
      <c r="A139" s="1" t="s">
        <v>197</v>
      </c>
      <c r="B139" s="2">
        <v>45553</v>
      </c>
      <c r="C139" s="1" t="s">
        <v>45</v>
      </c>
      <c r="D139" s="1" t="s">
        <v>19</v>
      </c>
      <c r="E139" s="1" t="s">
        <v>20</v>
      </c>
      <c r="F139" s="1">
        <v>11</v>
      </c>
      <c r="G139" s="5">
        <v>89.77</v>
      </c>
      <c r="H139" s="5">
        <v>987.46999999999991</v>
      </c>
      <c r="I139" s="1" t="s">
        <v>37</v>
      </c>
      <c r="J139" s="1" t="s">
        <v>16</v>
      </c>
      <c r="K139" s="1">
        <v>3</v>
      </c>
    </row>
    <row r="140" spans="1:11" x14ac:dyDescent="0.35">
      <c r="A140" s="1" t="s">
        <v>198</v>
      </c>
      <c r="B140" s="2">
        <v>45362</v>
      </c>
      <c r="C140" s="1" t="s">
        <v>23</v>
      </c>
      <c r="D140" s="1" t="s">
        <v>39</v>
      </c>
      <c r="E140" s="1" t="s">
        <v>76</v>
      </c>
      <c r="F140" s="1">
        <v>4</v>
      </c>
      <c r="G140" s="5">
        <v>56.12</v>
      </c>
      <c r="H140" s="5">
        <v>224.48</v>
      </c>
      <c r="I140" s="1" t="s">
        <v>26</v>
      </c>
      <c r="J140" s="1" t="s">
        <v>16</v>
      </c>
      <c r="K140" s="1">
        <v>1</v>
      </c>
    </row>
    <row r="141" spans="1:11" x14ac:dyDescent="0.35">
      <c r="A141" s="1" t="s">
        <v>199</v>
      </c>
      <c r="B141" s="2">
        <v>45656</v>
      </c>
      <c r="C141" s="1" t="s">
        <v>23</v>
      </c>
      <c r="D141" s="1" t="s">
        <v>19</v>
      </c>
      <c r="E141" s="1" t="s">
        <v>28</v>
      </c>
      <c r="F141" s="1">
        <v>16</v>
      </c>
      <c r="G141" s="5">
        <v>28.17</v>
      </c>
      <c r="H141" s="5">
        <v>450.72</v>
      </c>
      <c r="I141" s="1" t="s">
        <v>21</v>
      </c>
      <c r="J141" s="1" t="s">
        <v>16</v>
      </c>
      <c r="K141" s="1">
        <v>4</v>
      </c>
    </row>
    <row r="142" spans="1:11" x14ac:dyDescent="0.35">
      <c r="A142" s="1" t="s">
        <v>200</v>
      </c>
      <c r="B142" s="2">
        <v>45465</v>
      </c>
      <c r="C142" s="1" t="s">
        <v>45</v>
      </c>
      <c r="D142" s="1" t="s">
        <v>39</v>
      </c>
      <c r="E142" s="1" t="s">
        <v>86</v>
      </c>
      <c r="F142" s="1">
        <v>3</v>
      </c>
      <c r="G142" s="5">
        <v>204.29</v>
      </c>
      <c r="H142" s="5">
        <v>612.87</v>
      </c>
      <c r="I142" s="1" t="s">
        <v>15</v>
      </c>
      <c r="J142" s="1" t="s">
        <v>16</v>
      </c>
      <c r="K142" s="1">
        <v>2</v>
      </c>
    </row>
    <row r="143" spans="1:11" x14ac:dyDescent="0.35">
      <c r="A143" s="1" t="s">
        <v>201</v>
      </c>
      <c r="B143" s="2">
        <v>45577</v>
      </c>
      <c r="C143" s="1" t="s">
        <v>12</v>
      </c>
      <c r="D143" s="1" t="s">
        <v>39</v>
      </c>
      <c r="E143" s="1" t="s">
        <v>76</v>
      </c>
      <c r="F143" s="1">
        <v>20</v>
      </c>
      <c r="G143" s="5">
        <v>63.78</v>
      </c>
      <c r="H143" s="5">
        <v>1275.5999999999999</v>
      </c>
      <c r="I143" s="1" t="s">
        <v>29</v>
      </c>
      <c r="J143" s="1" t="s">
        <v>16</v>
      </c>
      <c r="K143" s="1">
        <v>4</v>
      </c>
    </row>
    <row r="144" spans="1:11" x14ac:dyDescent="0.35">
      <c r="A144" s="1" t="s">
        <v>202</v>
      </c>
      <c r="B144" s="2">
        <v>45518</v>
      </c>
      <c r="C144" s="1" t="s">
        <v>45</v>
      </c>
      <c r="D144" s="1" t="s">
        <v>19</v>
      </c>
      <c r="E144" s="1" t="s">
        <v>20</v>
      </c>
      <c r="F144" s="1">
        <v>6</v>
      </c>
      <c r="G144" s="5">
        <v>84.93</v>
      </c>
      <c r="H144" s="5">
        <v>509.58000000000004</v>
      </c>
      <c r="I144" s="1" t="s">
        <v>62</v>
      </c>
      <c r="J144" s="1" t="s">
        <v>16</v>
      </c>
      <c r="K144" s="1">
        <v>3</v>
      </c>
    </row>
    <row r="145" spans="1:11" x14ac:dyDescent="0.35">
      <c r="A145" s="1" t="s">
        <v>203</v>
      </c>
      <c r="B145" s="2">
        <v>45339</v>
      </c>
      <c r="C145" s="1" t="s">
        <v>12</v>
      </c>
      <c r="D145" s="1" t="s">
        <v>13</v>
      </c>
      <c r="E145" s="1" t="s">
        <v>36</v>
      </c>
      <c r="F145" s="1">
        <v>12</v>
      </c>
      <c r="G145" s="5">
        <v>18.329999999999998</v>
      </c>
      <c r="H145" s="5">
        <v>219.95999999999998</v>
      </c>
      <c r="I145" s="1" t="s">
        <v>67</v>
      </c>
      <c r="J145" s="1" t="s">
        <v>16</v>
      </c>
      <c r="K145" s="1">
        <v>1</v>
      </c>
    </row>
    <row r="146" spans="1:11" x14ac:dyDescent="0.35">
      <c r="A146" s="1" t="s">
        <v>204</v>
      </c>
      <c r="B146" s="2">
        <v>45581</v>
      </c>
      <c r="C146" s="1" t="s">
        <v>23</v>
      </c>
      <c r="D146" s="1" t="s">
        <v>13</v>
      </c>
      <c r="E146" s="1" t="s">
        <v>36</v>
      </c>
      <c r="F146" s="1">
        <v>13</v>
      </c>
      <c r="G146" s="5">
        <v>19.14</v>
      </c>
      <c r="H146" s="5">
        <v>248.82</v>
      </c>
      <c r="I146" s="1" t="s">
        <v>29</v>
      </c>
      <c r="J146" s="1" t="s">
        <v>16</v>
      </c>
      <c r="K146" s="1">
        <v>4</v>
      </c>
    </row>
    <row r="147" spans="1:11" x14ac:dyDescent="0.35">
      <c r="A147" s="1" t="s">
        <v>205</v>
      </c>
      <c r="B147" s="2">
        <v>45590</v>
      </c>
      <c r="C147" s="1" t="s">
        <v>12</v>
      </c>
      <c r="D147" s="1" t="s">
        <v>39</v>
      </c>
      <c r="E147" s="1" t="s">
        <v>86</v>
      </c>
      <c r="F147" s="1">
        <v>5</v>
      </c>
      <c r="G147" s="5">
        <v>204.26</v>
      </c>
      <c r="H147" s="5">
        <v>1021.3</v>
      </c>
      <c r="I147" s="1" t="s">
        <v>29</v>
      </c>
      <c r="J147" s="1" t="s">
        <v>16</v>
      </c>
      <c r="K147" s="1">
        <v>4</v>
      </c>
    </row>
    <row r="148" spans="1:11" x14ac:dyDescent="0.35">
      <c r="A148" s="1" t="s">
        <v>206</v>
      </c>
      <c r="B148" s="2">
        <v>45602</v>
      </c>
      <c r="C148" s="1" t="s">
        <v>12</v>
      </c>
      <c r="D148" s="1" t="s">
        <v>39</v>
      </c>
      <c r="E148" s="1" t="s">
        <v>86</v>
      </c>
      <c r="F148" s="1">
        <v>20</v>
      </c>
      <c r="G148" s="5">
        <v>212.99</v>
      </c>
      <c r="H148" s="5">
        <v>4259.8</v>
      </c>
      <c r="I148" s="1" t="s">
        <v>41</v>
      </c>
      <c r="J148" s="1" t="s">
        <v>16</v>
      </c>
      <c r="K148" s="1">
        <v>4</v>
      </c>
    </row>
    <row r="149" spans="1:11" x14ac:dyDescent="0.35">
      <c r="A149" s="1" t="s">
        <v>207</v>
      </c>
      <c r="B149" s="2">
        <v>45604</v>
      </c>
      <c r="C149" s="1" t="s">
        <v>45</v>
      </c>
      <c r="D149" s="1" t="s">
        <v>24</v>
      </c>
      <c r="E149" s="1" t="s">
        <v>73</v>
      </c>
      <c r="F149" s="1">
        <v>15</v>
      </c>
      <c r="G149" s="5">
        <v>140.15</v>
      </c>
      <c r="H149" s="5">
        <v>2102.25</v>
      </c>
      <c r="I149" s="1" t="s">
        <v>41</v>
      </c>
      <c r="J149" s="1" t="s">
        <v>16</v>
      </c>
      <c r="K149" s="1">
        <v>4</v>
      </c>
    </row>
    <row r="150" spans="1:11" x14ac:dyDescent="0.35">
      <c r="A150" s="1" t="s">
        <v>208</v>
      </c>
      <c r="B150" s="2">
        <v>45469</v>
      </c>
      <c r="C150" s="1" t="s">
        <v>18</v>
      </c>
      <c r="D150" s="1" t="s">
        <v>49</v>
      </c>
      <c r="E150" s="1" t="s">
        <v>52</v>
      </c>
      <c r="F150" s="1">
        <v>3</v>
      </c>
      <c r="G150" s="5">
        <v>25.65</v>
      </c>
      <c r="H150" s="5">
        <v>76.949999999999989</v>
      </c>
      <c r="I150" s="1" t="s">
        <v>15</v>
      </c>
      <c r="J150" s="1" t="s">
        <v>16</v>
      </c>
      <c r="K150" s="1">
        <v>2</v>
      </c>
    </row>
    <row r="151" spans="1:11" x14ac:dyDescent="0.35">
      <c r="A151" s="1" t="s">
        <v>209</v>
      </c>
      <c r="B151" s="2">
        <v>45457</v>
      </c>
      <c r="C151" s="1" t="s">
        <v>47</v>
      </c>
      <c r="D151" s="1" t="s">
        <v>19</v>
      </c>
      <c r="E151" s="1" t="s">
        <v>61</v>
      </c>
      <c r="F151" s="1">
        <v>2</v>
      </c>
      <c r="G151" s="5">
        <v>66.86</v>
      </c>
      <c r="H151" s="5">
        <v>133.72</v>
      </c>
      <c r="I151" s="1" t="s">
        <v>15</v>
      </c>
      <c r="J151" s="1" t="s">
        <v>16</v>
      </c>
      <c r="K151" s="1">
        <v>2</v>
      </c>
    </row>
    <row r="152" spans="1:11" x14ac:dyDescent="0.35">
      <c r="A152" s="1" t="s">
        <v>210</v>
      </c>
      <c r="B152" s="2">
        <v>45434</v>
      </c>
      <c r="C152" s="1" t="s">
        <v>45</v>
      </c>
      <c r="D152" s="1" t="s">
        <v>13</v>
      </c>
      <c r="E152" s="1" t="s">
        <v>14</v>
      </c>
      <c r="F152" s="1">
        <v>16</v>
      </c>
      <c r="G152" s="5">
        <v>152.25</v>
      </c>
      <c r="H152" s="5">
        <v>2436</v>
      </c>
      <c r="I152" s="1" t="s">
        <v>59</v>
      </c>
      <c r="J152" s="1" t="s">
        <v>16</v>
      </c>
      <c r="K152" s="1">
        <v>2</v>
      </c>
    </row>
    <row r="153" spans="1:11" x14ac:dyDescent="0.35">
      <c r="A153" s="1" t="s">
        <v>211</v>
      </c>
      <c r="B153" s="2">
        <v>45560</v>
      </c>
      <c r="C153" s="1" t="s">
        <v>12</v>
      </c>
      <c r="D153" s="1" t="s">
        <v>19</v>
      </c>
      <c r="E153" s="1" t="s">
        <v>20</v>
      </c>
      <c r="F153" s="1">
        <v>15</v>
      </c>
      <c r="G153" s="5">
        <v>88.19</v>
      </c>
      <c r="H153" s="5">
        <v>1322.85</v>
      </c>
      <c r="I153" s="1" t="s">
        <v>37</v>
      </c>
      <c r="J153" s="1" t="s">
        <v>16</v>
      </c>
      <c r="K153" s="1">
        <v>3</v>
      </c>
    </row>
    <row r="154" spans="1:11" x14ac:dyDescent="0.35">
      <c r="A154" s="1" t="s">
        <v>212</v>
      </c>
      <c r="B154" s="2">
        <v>45364</v>
      </c>
      <c r="C154" s="1" t="s">
        <v>18</v>
      </c>
      <c r="D154" s="1" t="s">
        <v>49</v>
      </c>
      <c r="E154" s="1" t="s">
        <v>99</v>
      </c>
      <c r="F154" s="1">
        <v>20</v>
      </c>
      <c r="G154" s="5">
        <v>57.27</v>
      </c>
      <c r="H154" s="5">
        <v>1145.4000000000001</v>
      </c>
      <c r="I154" s="1" t="s">
        <v>26</v>
      </c>
      <c r="J154" s="1" t="s">
        <v>16</v>
      </c>
      <c r="K154" s="1">
        <v>1</v>
      </c>
    </row>
    <row r="155" spans="1:11" x14ac:dyDescent="0.35">
      <c r="A155" s="1" t="s">
        <v>213</v>
      </c>
      <c r="B155" s="2">
        <v>45645</v>
      </c>
      <c r="C155" s="1" t="s">
        <v>23</v>
      </c>
      <c r="D155" s="1" t="s">
        <v>19</v>
      </c>
      <c r="E155" s="1" t="s">
        <v>28</v>
      </c>
      <c r="F155" s="1">
        <v>15</v>
      </c>
      <c r="G155" s="5">
        <v>31.68</v>
      </c>
      <c r="H155" s="5">
        <v>475.2</v>
      </c>
      <c r="I155" s="1" t="s">
        <v>21</v>
      </c>
      <c r="J155" s="1" t="s">
        <v>16</v>
      </c>
      <c r="K155" s="1">
        <v>4</v>
      </c>
    </row>
    <row r="156" spans="1:11" x14ac:dyDescent="0.35">
      <c r="A156" s="1" t="s">
        <v>214</v>
      </c>
      <c r="B156" s="2">
        <v>45430</v>
      </c>
      <c r="C156" s="1" t="s">
        <v>45</v>
      </c>
      <c r="D156" s="1" t="s">
        <v>24</v>
      </c>
      <c r="E156" s="1" t="s">
        <v>25</v>
      </c>
      <c r="F156" s="1">
        <v>20</v>
      </c>
      <c r="G156" s="5">
        <v>244.73</v>
      </c>
      <c r="H156" s="5">
        <v>4894.5999999999995</v>
      </c>
      <c r="I156" s="1" t="s">
        <v>59</v>
      </c>
      <c r="J156" s="1" t="s">
        <v>16</v>
      </c>
      <c r="K156" s="1">
        <v>2</v>
      </c>
    </row>
    <row r="157" spans="1:11" x14ac:dyDescent="0.35">
      <c r="A157" s="1" t="s">
        <v>215</v>
      </c>
      <c r="B157" s="2">
        <v>45356</v>
      </c>
      <c r="C157" s="1" t="s">
        <v>45</v>
      </c>
      <c r="D157" s="1" t="s">
        <v>49</v>
      </c>
      <c r="E157" s="1" t="s">
        <v>115</v>
      </c>
      <c r="F157" s="1">
        <v>6</v>
      </c>
      <c r="G157" s="5">
        <v>21.77</v>
      </c>
      <c r="H157" s="5">
        <v>130.62</v>
      </c>
      <c r="I157" s="1" t="s">
        <v>26</v>
      </c>
      <c r="J157" s="1" t="s">
        <v>16</v>
      </c>
      <c r="K157" s="1">
        <v>1</v>
      </c>
    </row>
    <row r="158" spans="1:11" x14ac:dyDescent="0.35">
      <c r="A158" s="1" t="s">
        <v>216</v>
      </c>
      <c r="B158" s="2">
        <v>45363</v>
      </c>
      <c r="C158" s="1" t="s">
        <v>23</v>
      </c>
      <c r="D158" s="1" t="s">
        <v>39</v>
      </c>
      <c r="E158" s="1" t="s">
        <v>76</v>
      </c>
      <c r="F158" s="1">
        <v>16</v>
      </c>
      <c r="G158" s="5">
        <v>57.34</v>
      </c>
      <c r="H158" s="5">
        <v>917.44</v>
      </c>
      <c r="I158" s="1" t="s">
        <v>26</v>
      </c>
      <c r="J158" s="1" t="s">
        <v>16</v>
      </c>
      <c r="K158" s="1">
        <v>1</v>
      </c>
    </row>
    <row r="159" spans="1:11" x14ac:dyDescent="0.35">
      <c r="A159" s="1" t="s">
        <v>217</v>
      </c>
      <c r="B159" s="2">
        <v>45461</v>
      </c>
      <c r="C159" s="1" t="s">
        <v>18</v>
      </c>
      <c r="D159" s="1" t="s">
        <v>19</v>
      </c>
      <c r="E159" s="1" t="s">
        <v>31</v>
      </c>
      <c r="F159" s="1">
        <v>11</v>
      </c>
      <c r="G159" s="5">
        <v>580.59</v>
      </c>
      <c r="H159" s="5">
        <v>6386.4900000000007</v>
      </c>
      <c r="I159" s="1" t="s">
        <v>15</v>
      </c>
      <c r="J159" s="1" t="s">
        <v>16</v>
      </c>
      <c r="K159" s="1">
        <v>2</v>
      </c>
    </row>
    <row r="160" spans="1:11" x14ac:dyDescent="0.35">
      <c r="A160" s="1" t="s">
        <v>218</v>
      </c>
      <c r="B160" s="2">
        <v>45570</v>
      </c>
      <c r="C160" s="1" t="s">
        <v>12</v>
      </c>
      <c r="D160" s="1" t="s">
        <v>19</v>
      </c>
      <c r="E160" s="1" t="s">
        <v>61</v>
      </c>
      <c r="F160" s="1">
        <v>13</v>
      </c>
      <c r="G160" s="5">
        <v>69.37</v>
      </c>
      <c r="H160" s="5">
        <v>901.81000000000006</v>
      </c>
      <c r="I160" s="1" t="s">
        <v>29</v>
      </c>
      <c r="J160" s="1" t="s">
        <v>16</v>
      </c>
      <c r="K160" s="1">
        <v>4</v>
      </c>
    </row>
    <row r="161" spans="1:11" x14ac:dyDescent="0.35">
      <c r="A161" s="1" t="s">
        <v>219</v>
      </c>
      <c r="B161" s="2">
        <v>45483</v>
      </c>
      <c r="C161" s="1" t="s">
        <v>12</v>
      </c>
      <c r="D161" s="1" t="s">
        <v>13</v>
      </c>
      <c r="E161" s="1" t="s">
        <v>14</v>
      </c>
      <c r="F161" s="1">
        <v>18</v>
      </c>
      <c r="G161" s="5">
        <v>148.77000000000001</v>
      </c>
      <c r="H161" s="5">
        <v>2677.86</v>
      </c>
      <c r="I161" s="1" t="s">
        <v>56</v>
      </c>
      <c r="J161" s="1" t="s">
        <v>16</v>
      </c>
      <c r="K161" s="1">
        <v>3</v>
      </c>
    </row>
    <row r="162" spans="1:11" x14ac:dyDescent="0.35">
      <c r="A162" s="1" t="s">
        <v>220</v>
      </c>
      <c r="B162" s="2">
        <v>45420</v>
      </c>
      <c r="C162" s="1" t="s">
        <v>18</v>
      </c>
      <c r="D162" s="1" t="s">
        <v>24</v>
      </c>
      <c r="E162" s="1" t="s">
        <v>43</v>
      </c>
      <c r="F162" s="1">
        <v>8</v>
      </c>
      <c r="G162" s="5">
        <v>85.85</v>
      </c>
      <c r="H162" s="5">
        <v>686.8</v>
      </c>
      <c r="I162" s="1" t="s">
        <v>59</v>
      </c>
      <c r="J162" s="1" t="s">
        <v>16</v>
      </c>
      <c r="K162" s="1">
        <v>2</v>
      </c>
    </row>
    <row r="163" spans="1:11" x14ac:dyDescent="0.35">
      <c r="A163" s="1" t="s">
        <v>221</v>
      </c>
      <c r="B163" s="2">
        <v>45434</v>
      </c>
      <c r="C163" s="1" t="s">
        <v>45</v>
      </c>
      <c r="D163" s="1" t="s">
        <v>19</v>
      </c>
      <c r="E163" s="1" t="s">
        <v>61</v>
      </c>
      <c r="F163" s="1">
        <v>4</v>
      </c>
      <c r="G163" s="5">
        <v>66.510000000000005</v>
      </c>
      <c r="H163" s="5">
        <v>266.04000000000002</v>
      </c>
      <c r="I163" s="1" t="s">
        <v>59</v>
      </c>
      <c r="J163" s="1" t="s">
        <v>16</v>
      </c>
      <c r="K163" s="1">
        <v>2</v>
      </c>
    </row>
    <row r="164" spans="1:11" x14ac:dyDescent="0.35">
      <c r="A164" s="1" t="s">
        <v>222</v>
      </c>
      <c r="B164" s="2">
        <v>45345</v>
      </c>
      <c r="C164" s="1" t="s">
        <v>12</v>
      </c>
      <c r="D164" s="1" t="s">
        <v>19</v>
      </c>
      <c r="E164" s="1" t="s">
        <v>61</v>
      </c>
      <c r="F164" s="1">
        <v>3</v>
      </c>
      <c r="G164" s="5">
        <v>68.010000000000005</v>
      </c>
      <c r="H164" s="5">
        <v>204.03000000000003</v>
      </c>
      <c r="I164" s="1" t="s">
        <v>67</v>
      </c>
      <c r="J164" s="1" t="s">
        <v>16</v>
      </c>
      <c r="K164" s="1">
        <v>1</v>
      </c>
    </row>
    <row r="165" spans="1:11" x14ac:dyDescent="0.35">
      <c r="A165" s="1" t="s">
        <v>223</v>
      </c>
      <c r="B165" s="2">
        <v>45320</v>
      </c>
      <c r="C165" s="1" t="s">
        <v>45</v>
      </c>
      <c r="D165" s="1" t="s">
        <v>24</v>
      </c>
      <c r="E165" s="1" t="s">
        <v>25</v>
      </c>
      <c r="F165" s="1">
        <v>13</v>
      </c>
      <c r="G165" s="5">
        <v>246.55</v>
      </c>
      <c r="H165" s="5">
        <v>3205.15</v>
      </c>
      <c r="I165" s="1" t="s">
        <v>90</v>
      </c>
      <c r="J165" s="1" t="s">
        <v>16</v>
      </c>
      <c r="K165" s="1">
        <v>1</v>
      </c>
    </row>
    <row r="166" spans="1:11" x14ac:dyDescent="0.35">
      <c r="A166" s="1" t="s">
        <v>224</v>
      </c>
      <c r="B166" s="2">
        <v>45334</v>
      </c>
      <c r="C166" s="1" t="s">
        <v>47</v>
      </c>
      <c r="D166" s="1" t="s">
        <v>39</v>
      </c>
      <c r="E166" s="1" t="s">
        <v>58</v>
      </c>
      <c r="F166" s="1">
        <v>5</v>
      </c>
      <c r="G166" s="5">
        <v>95.3</v>
      </c>
      <c r="H166" s="5">
        <v>476.5</v>
      </c>
      <c r="I166" s="1" t="s">
        <v>67</v>
      </c>
      <c r="J166" s="1" t="s">
        <v>16</v>
      </c>
      <c r="K166" s="1">
        <v>1</v>
      </c>
    </row>
    <row r="167" spans="1:11" x14ac:dyDescent="0.35">
      <c r="A167" s="1" t="s">
        <v>225</v>
      </c>
      <c r="B167" s="2">
        <v>45346</v>
      </c>
      <c r="C167" s="1" t="s">
        <v>12</v>
      </c>
      <c r="D167" s="1" t="s">
        <v>19</v>
      </c>
      <c r="E167" s="1" t="s">
        <v>31</v>
      </c>
      <c r="F167" s="1">
        <v>17</v>
      </c>
      <c r="G167" s="5">
        <v>559.80999999999995</v>
      </c>
      <c r="H167" s="5">
        <v>9516.7699999999986</v>
      </c>
      <c r="I167" s="1" t="s">
        <v>67</v>
      </c>
      <c r="J167" s="1" t="s">
        <v>16</v>
      </c>
      <c r="K167" s="1">
        <v>1</v>
      </c>
    </row>
    <row r="168" spans="1:11" x14ac:dyDescent="0.35">
      <c r="A168" s="1" t="s">
        <v>226</v>
      </c>
      <c r="B168" s="2">
        <v>45587</v>
      </c>
      <c r="C168" s="1" t="s">
        <v>45</v>
      </c>
      <c r="D168" s="1" t="s">
        <v>39</v>
      </c>
      <c r="E168" s="1" t="s">
        <v>110</v>
      </c>
      <c r="F168" s="1">
        <v>14</v>
      </c>
      <c r="G168" s="5">
        <v>284.13</v>
      </c>
      <c r="H168" s="5">
        <v>3977.8199999999997</v>
      </c>
      <c r="I168" s="1" t="s">
        <v>29</v>
      </c>
      <c r="J168" s="1" t="s">
        <v>16</v>
      </c>
      <c r="K168" s="1">
        <v>4</v>
      </c>
    </row>
    <row r="169" spans="1:11" x14ac:dyDescent="0.35">
      <c r="A169" s="1" t="s">
        <v>227</v>
      </c>
      <c r="B169" s="2">
        <v>45430</v>
      </c>
      <c r="C169" s="1" t="s">
        <v>47</v>
      </c>
      <c r="D169" s="1" t="s">
        <v>24</v>
      </c>
      <c r="E169" s="1" t="s">
        <v>73</v>
      </c>
      <c r="F169" s="1">
        <v>9</v>
      </c>
      <c r="G169" s="5">
        <v>139.94999999999999</v>
      </c>
      <c r="H169" s="5">
        <v>1259.55</v>
      </c>
      <c r="I169" s="1" t="s">
        <v>59</v>
      </c>
      <c r="J169" s="1" t="s">
        <v>16</v>
      </c>
      <c r="K169" s="1">
        <v>2</v>
      </c>
    </row>
    <row r="170" spans="1:11" x14ac:dyDescent="0.35">
      <c r="A170" s="1" t="s">
        <v>228</v>
      </c>
      <c r="B170" s="2">
        <v>45487</v>
      </c>
      <c r="C170" s="1" t="s">
        <v>18</v>
      </c>
      <c r="D170" s="1" t="s">
        <v>13</v>
      </c>
      <c r="E170" s="1" t="s">
        <v>36</v>
      </c>
      <c r="F170" s="1">
        <v>15</v>
      </c>
      <c r="G170" s="5">
        <v>18.46</v>
      </c>
      <c r="H170" s="5">
        <v>276.90000000000003</v>
      </c>
      <c r="I170" s="1" t="s">
        <v>56</v>
      </c>
      <c r="J170" s="1" t="s">
        <v>16</v>
      </c>
      <c r="K170" s="1">
        <v>3</v>
      </c>
    </row>
    <row r="171" spans="1:11" x14ac:dyDescent="0.35">
      <c r="A171" s="1" t="s">
        <v>229</v>
      </c>
      <c r="B171" s="2">
        <v>45508</v>
      </c>
      <c r="C171" s="1" t="s">
        <v>47</v>
      </c>
      <c r="D171" s="1" t="s">
        <v>39</v>
      </c>
      <c r="E171" s="1" t="s">
        <v>58</v>
      </c>
      <c r="F171" s="1">
        <v>10</v>
      </c>
      <c r="G171" s="5">
        <v>99.27</v>
      </c>
      <c r="H171" s="5">
        <v>992.69999999999993</v>
      </c>
      <c r="I171" s="1" t="s">
        <v>62</v>
      </c>
      <c r="J171" s="1" t="s">
        <v>16</v>
      </c>
      <c r="K171" s="1">
        <v>3</v>
      </c>
    </row>
    <row r="172" spans="1:11" x14ac:dyDescent="0.35">
      <c r="A172" s="1" t="s">
        <v>230</v>
      </c>
      <c r="B172" s="2">
        <v>45641</v>
      </c>
      <c r="C172" s="1" t="s">
        <v>45</v>
      </c>
      <c r="D172" s="1" t="s">
        <v>49</v>
      </c>
      <c r="E172" s="1" t="s">
        <v>115</v>
      </c>
      <c r="F172" s="1">
        <v>5</v>
      </c>
      <c r="G172" s="5">
        <v>21.67</v>
      </c>
      <c r="H172" s="5">
        <v>108.35000000000001</v>
      </c>
      <c r="I172" s="1" t="s">
        <v>21</v>
      </c>
      <c r="J172" s="1" t="s">
        <v>16</v>
      </c>
      <c r="K172" s="1">
        <v>4</v>
      </c>
    </row>
    <row r="173" spans="1:11" x14ac:dyDescent="0.35">
      <c r="A173" s="1" t="s">
        <v>231</v>
      </c>
      <c r="B173" s="2">
        <v>45626</v>
      </c>
      <c r="C173" s="1" t="s">
        <v>47</v>
      </c>
      <c r="D173" s="1" t="s">
        <v>24</v>
      </c>
      <c r="E173" s="1" t="s">
        <v>93</v>
      </c>
      <c r="F173" s="1">
        <v>14</v>
      </c>
      <c r="G173" s="5">
        <v>42.99</v>
      </c>
      <c r="H173" s="5">
        <v>601.86</v>
      </c>
      <c r="I173" s="1" t="s">
        <v>41</v>
      </c>
      <c r="J173" s="1" t="s">
        <v>16</v>
      </c>
      <c r="K173" s="1">
        <v>4</v>
      </c>
    </row>
    <row r="174" spans="1:11" x14ac:dyDescent="0.35">
      <c r="A174" s="1" t="s">
        <v>232</v>
      </c>
      <c r="B174" s="2">
        <v>45454</v>
      </c>
      <c r="C174" s="1" t="s">
        <v>45</v>
      </c>
      <c r="D174" s="1" t="s">
        <v>49</v>
      </c>
      <c r="E174" s="1" t="s">
        <v>115</v>
      </c>
      <c r="F174" s="1">
        <v>14</v>
      </c>
      <c r="G174" s="5">
        <v>22.11</v>
      </c>
      <c r="H174" s="5">
        <v>309.53999999999996</v>
      </c>
      <c r="I174" s="1" t="s">
        <v>15</v>
      </c>
      <c r="J174" s="1" t="s">
        <v>16</v>
      </c>
      <c r="K174" s="1">
        <v>2</v>
      </c>
    </row>
    <row r="175" spans="1:11" x14ac:dyDescent="0.35">
      <c r="A175" s="1" t="s">
        <v>233</v>
      </c>
      <c r="B175" s="2">
        <v>45426</v>
      </c>
      <c r="C175" s="1" t="s">
        <v>47</v>
      </c>
      <c r="D175" s="1" t="s">
        <v>49</v>
      </c>
      <c r="E175" s="1" t="s">
        <v>81</v>
      </c>
      <c r="F175" s="1">
        <v>17</v>
      </c>
      <c r="G175" s="5">
        <v>15.97</v>
      </c>
      <c r="H175" s="5">
        <v>271.49</v>
      </c>
      <c r="I175" s="1" t="s">
        <v>59</v>
      </c>
      <c r="J175" s="1" t="s">
        <v>16</v>
      </c>
      <c r="K175" s="1">
        <v>2</v>
      </c>
    </row>
    <row r="176" spans="1:11" x14ac:dyDescent="0.35">
      <c r="A176" s="1" t="s">
        <v>234</v>
      </c>
      <c r="B176" s="2">
        <v>45569</v>
      </c>
      <c r="C176" s="1" t="s">
        <v>47</v>
      </c>
      <c r="D176" s="1" t="s">
        <v>49</v>
      </c>
      <c r="E176" s="1" t="s">
        <v>115</v>
      </c>
      <c r="F176" s="1">
        <v>7</v>
      </c>
      <c r="G176" s="5">
        <v>24.17</v>
      </c>
      <c r="H176" s="5">
        <v>169.19</v>
      </c>
      <c r="I176" s="1" t="s">
        <v>29</v>
      </c>
      <c r="J176" s="1" t="s">
        <v>16</v>
      </c>
      <c r="K176" s="1">
        <v>4</v>
      </c>
    </row>
    <row r="177" spans="1:11" x14ac:dyDescent="0.35">
      <c r="A177" s="1" t="s">
        <v>235</v>
      </c>
      <c r="B177" s="2">
        <v>45564</v>
      </c>
      <c r="C177" s="1" t="s">
        <v>23</v>
      </c>
      <c r="D177" s="1" t="s">
        <v>49</v>
      </c>
      <c r="E177" s="1" t="s">
        <v>81</v>
      </c>
      <c r="F177" s="1">
        <v>3</v>
      </c>
      <c r="G177" s="5">
        <v>14.66</v>
      </c>
      <c r="H177" s="5">
        <v>43.980000000000004</v>
      </c>
      <c r="I177" s="1" t="s">
        <v>37</v>
      </c>
      <c r="J177" s="1" t="s">
        <v>16</v>
      </c>
      <c r="K177" s="1">
        <v>3</v>
      </c>
    </row>
    <row r="178" spans="1:11" x14ac:dyDescent="0.35">
      <c r="A178" s="1" t="s">
        <v>236</v>
      </c>
      <c r="B178" s="2">
        <v>45450</v>
      </c>
      <c r="C178" s="1" t="s">
        <v>23</v>
      </c>
      <c r="D178" s="1" t="s">
        <v>39</v>
      </c>
      <c r="E178" s="1" t="s">
        <v>110</v>
      </c>
      <c r="F178" s="1">
        <v>6</v>
      </c>
      <c r="G178" s="5">
        <v>323.06</v>
      </c>
      <c r="H178" s="5">
        <v>1938.3600000000001</v>
      </c>
      <c r="I178" s="1" t="s">
        <v>15</v>
      </c>
      <c r="J178" s="1" t="s">
        <v>16</v>
      </c>
      <c r="K178" s="1">
        <v>2</v>
      </c>
    </row>
    <row r="179" spans="1:11" x14ac:dyDescent="0.35">
      <c r="A179" s="1" t="s">
        <v>237</v>
      </c>
      <c r="B179" s="2">
        <v>45603</v>
      </c>
      <c r="C179" s="1" t="s">
        <v>23</v>
      </c>
      <c r="D179" s="1" t="s">
        <v>39</v>
      </c>
      <c r="E179" s="1" t="s">
        <v>110</v>
      </c>
      <c r="F179" s="1">
        <v>16</v>
      </c>
      <c r="G179" s="5">
        <v>286.91000000000003</v>
      </c>
      <c r="H179" s="5">
        <v>4590.5600000000004</v>
      </c>
      <c r="I179" s="1" t="s">
        <v>41</v>
      </c>
      <c r="J179" s="1" t="s">
        <v>16</v>
      </c>
      <c r="K179" s="1">
        <v>4</v>
      </c>
    </row>
    <row r="180" spans="1:11" x14ac:dyDescent="0.35">
      <c r="A180" s="1" t="s">
        <v>238</v>
      </c>
      <c r="B180" s="2">
        <v>45574</v>
      </c>
      <c r="C180" s="1" t="s">
        <v>45</v>
      </c>
      <c r="D180" s="1" t="s">
        <v>49</v>
      </c>
      <c r="E180" s="1" t="s">
        <v>99</v>
      </c>
      <c r="F180" s="1">
        <v>8</v>
      </c>
      <c r="G180" s="5">
        <v>59.71</v>
      </c>
      <c r="H180" s="5">
        <v>477.68</v>
      </c>
      <c r="I180" s="1" t="s">
        <v>29</v>
      </c>
      <c r="J180" s="1" t="s">
        <v>16</v>
      </c>
      <c r="K180" s="1">
        <v>4</v>
      </c>
    </row>
    <row r="181" spans="1:11" x14ac:dyDescent="0.35">
      <c r="A181" s="1" t="s">
        <v>239</v>
      </c>
      <c r="B181" s="2">
        <v>45570</v>
      </c>
      <c r="C181" s="1" t="s">
        <v>18</v>
      </c>
      <c r="D181" s="1" t="s">
        <v>49</v>
      </c>
      <c r="E181" s="1" t="s">
        <v>50</v>
      </c>
      <c r="F181" s="1">
        <v>12</v>
      </c>
      <c r="G181" s="5">
        <v>18.68</v>
      </c>
      <c r="H181" s="5">
        <v>224.16</v>
      </c>
      <c r="I181" s="1" t="s">
        <v>29</v>
      </c>
      <c r="J181" s="1" t="s">
        <v>16</v>
      </c>
      <c r="K181" s="1">
        <v>4</v>
      </c>
    </row>
    <row r="182" spans="1:11" x14ac:dyDescent="0.35">
      <c r="A182" s="1" t="s">
        <v>240</v>
      </c>
      <c r="B182" s="2">
        <v>45518</v>
      </c>
      <c r="C182" s="1" t="s">
        <v>45</v>
      </c>
      <c r="D182" s="1" t="s">
        <v>24</v>
      </c>
      <c r="E182" s="1" t="s">
        <v>34</v>
      </c>
      <c r="F182" s="1">
        <v>15</v>
      </c>
      <c r="G182" s="5">
        <v>94.37</v>
      </c>
      <c r="H182" s="5">
        <v>1415.5500000000002</v>
      </c>
      <c r="I182" s="1" t="s">
        <v>62</v>
      </c>
      <c r="J182" s="1" t="s">
        <v>16</v>
      </c>
      <c r="K182" s="1">
        <v>3</v>
      </c>
    </row>
    <row r="183" spans="1:11" x14ac:dyDescent="0.35">
      <c r="A183" s="1" t="s">
        <v>241</v>
      </c>
      <c r="B183" s="2">
        <v>45542</v>
      </c>
      <c r="C183" s="1" t="s">
        <v>45</v>
      </c>
      <c r="D183" s="1" t="s">
        <v>49</v>
      </c>
      <c r="E183" s="1" t="s">
        <v>115</v>
      </c>
      <c r="F183" s="1">
        <v>16</v>
      </c>
      <c r="G183" s="5">
        <v>22.04</v>
      </c>
      <c r="H183" s="5">
        <v>352.64</v>
      </c>
      <c r="I183" s="1" t="s">
        <v>37</v>
      </c>
      <c r="J183" s="1" t="s">
        <v>16</v>
      </c>
      <c r="K183" s="1">
        <v>3</v>
      </c>
    </row>
    <row r="184" spans="1:11" x14ac:dyDescent="0.35">
      <c r="A184" s="1" t="s">
        <v>242</v>
      </c>
      <c r="B184" s="2">
        <v>45576</v>
      </c>
      <c r="C184" s="1" t="s">
        <v>12</v>
      </c>
      <c r="D184" s="1" t="s">
        <v>39</v>
      </c>
      <c r="E184" s="1" t="s">
        <v>76</v>
      </c>
      <c r="F184" s="1">
        <v>19</v>
      </c>
      <c r="G184" s="5">
        <v>59.1</v>
      </c>
      <c r="H184" s="5">
        <v>1122.9000000000001</v>
      </c>
      <c r="I184" s="1" t="s">
        <v>29</v>
      </c>
      <c r="J184" s="1" t="s">
        <v>16</v>
      </c>
      <c r="K184" s="1">
        <v>4</v>
      </c>
    </row>
    <row r="185" spans="1:11" x14ac:dyDescent="0.35">
      <c r="A185" s="1" t="s">
        <v>243</v>
      </c>
      <c r="B185" s="2">
        <v>45314</v>
      </c>
      <c r="C185" s="1" t="s">
        <v>18</v>
      </c>
      <c r="D185" s="1" t="s">
        <v>49</v>
      </c>
      <c r="E185" s="1" t="s">
        <v>81</v>
      </c>
      <c r="F185" s="1">
        <v>16</v>
      </c>
      <c r="G185" s="5">
        <v>16.03</v>
      </c>
      <c r="H185" s="5">
        <v>256.48</v>
      </c>
      <c r="I185" s="1" t="s">
        <v>90</v>
      </c>
      <c r="J185" s="1" t="s">
        <v>16</v>
      </c>
      <c r="K185" s="1">
        <v>1</v>
      </c>
    </row>
    <row r="186" spans="1:11" x14ac:dyDescent="0.35">
      <c r="A186" s="1" t="s">
        <v>244</v>
      </c>
      <c r="B186" s="2">
        <v>45518</v>
      </c>
      <c r="C186" s="1" t="s">
        <v>23</v>
      </c>
      <c r="D186" s="1" t="s">
        <v>39</v>
      </c>
      <c r="E186" s="1" t="s">
        <v>40</v>
      </c>
      <c r="F186" s="1">
        <v>20</v>
      </c>
      <c r="G186" s="5">
        <v>155.97999999999999</v>
      </c>
      <c r="H186" s="5">
        <v>3119.6</v>
      </c>
      <c r="I186" s="1" t="s">
        <v>62</v>
      </c>
      <c r="J186" s="1" t="s">
        <v>16</v>
      </c>
      <c r="K186" s="1">
        <v>3</v>
      </c>
    </row>
    <row r="187" spans="1:11" x14ac:dyDescent="0.35">
      <c r="A187" s="1" t="s">
        <v>245</v>
      </c>
      <c r="B187" s="2">
        <v>45362</v>
      </c>
      <c r="C187" s="1" t="s">
        <v>23</v>
      </c>
      <c r="D187" s="1" t="s">
        <v>49</v>
      </c>
      <c r="E187" s="1" t="s">
        <v>115</v>
      </c>
      <c r="F187" s="1">
        <v>15</v>
      </c>
      <c r="G187" s="5">
        <v>21.39</v>
      </c>
      <c r="H187" s="5">
        <v>320.85000000000002</v>
      </c>
      <c r="I187" s="1" t="s">
        <v>26</v>
      </c>
      <c r="J187" s="1" t="s">
        <v>16</v>
      </c>
      <c r="K187" s="1">
        <v>1</v>
      </c>
    </row>
    <row r="188" spans="1:11" x14ac:dyDescent="0.35">
      <c r="A188" s="1" t="s">
        <v>246</v>
      </c>
      <c r="B188" s="2">
        <v>45521</v>
      </c>
      <c r="C188" s="1" t="s">
        <v>45</v>
      </c>
      <c r="D188" s="1" t="s">
        <v>13</v>
      </c>
      <c r="E188" s="1" t="s">
        <v>119</v>
      </c>
      <c r="F188" s="1">
        <v>10</v>
      </c>
      <c r="G188" s="5">
        <v>272.62</v>
      </c>
      <c r="H188" s="5">
        <v>2726.2</v>
      </c>
      <c r="I188" s="1" t="s">
        <v>62</v>
      </c>
      <c r="J188" s="1" t="s">
        <v>16</v>
      </c>
      <c r="K188" s="1">
        <v>3</v>
      </c>
    </row>
    <row r="189" spans="1:11" x14ac:dyDescent="0.35">
      <c r="A189" s="1" t="s">
        <v>247</v>
      </c>
      <c r="B189" s="2">
        <v>45625</v>
      </c>
      <c r="C189" s="1" t="s">
        <v>47</v>
      </c>
      <c r="D189" s="1" t="s">
        <v>24</v>
      </c>
      <c r="E189" s="1" t="s">
        <v>34</v>
      </c>
      <c r="F189" s="1">
        <v>7</v>
      </c>
      <c r="G189" s="5">
        <v>95.75</v>
      </c>
      <c r="H189" s="5">
        <v>670.25</v>
      </c>
      <c r="I189" s="1" t="s">
        <v>41</v>
      </c>
      <c r="J189" s="1" t="s">
        <v>16</v>
      </c>
      <c r="K189" s="1">
        <v>4</v>
      </c>
    </row>
    <row r="190" spans="1:11" x14ac:dyDescent="0.35">
      <c r="A190" s="1" t="s">
        <v>248</v>
      </c>
      <c r="B190" s="2">
        <v>45625</v>
      </c>
      <c r="C190" s="1" t="s">
        <v>45</v>
      </c>
      <c r="D190" s="1" t="s">
        <v>39</v>
      </c>
      <c r="E190" s="1" t="s">
        <v>76</v>
      </c>
      <c r="F190" s="1">
        <v>10</v>
      </c>
      <c r="G190" s="5">
        <v>61.77</v>
      </c>
      <c r="H190" s="5">
        <v>617.70000000000005</v>
      </c>
      <c r="I190" s="1" t="s">
        <v>41</v>
      </c>
      <c r="J190" s="1" t="s">
        <v>16</v>
      </c>
      <c r="K190" s="1">
        <v>4</v>
      </c>
    </row>
    <row r="191" spans="1:11" x14ac:dyDescent="0.35">
      <c r="A191" s="1" t="s">
        <v>249</v>
      </c>
      <c r="B191" s="2">
        <v>45405</v>
      </c>
      <c r="C191" s="1" t="s">
        <v>45</v>
      </c>
      <c r="D191" s="1" t="s">
        <v>19</v>
      </c>
      <c r="E191" s="1" t="s">
        <v>28</v>
      </c>
      <c r="F191" s="1">
        <v>12</v>
      </c>
      <c r="G191" s="5">
        <v>30.54</v>
      </c>
      <c r="H191" s="5">
        <v>366.48</v>
      </c>
      <c r="I191" s="1" t="s">
        <v>54</v>
      </c>
      <c r="J191" s="1" t="s">
        <v>16</v>
      </c>
      <c r="K191" s="1">
        <v>2</v>
      </c>
    </row>
    <row r="192" spans="1:11" x14ac:dyDescent="0.35">
      <c r="A192" s="1" t="s">
        <v>250</v>
      </c>
      <c r="B192" s="2">
        <v>45374</v>
      </c>
      <c r="C192" s="1" t="s">
        <v>23</v>
      </c>
      <c r="D192" s="1" t="s">
        <v>49</v>
      </c>
      <c r="E192" s="1" t="s">
        <v>115</v>
      </c>
      <c r="F192" s="1">
        <v>5</v>
      </c>
      <c r="G192" s="5">
        <v>23.64</v>
      </c>
      <c r="H192" s="5">
        <v>118.2</v>
      </c>
      <c r="I192" s="1" t="s">
        <v>26</v>
      </c>
      <c r="J192" s="1" t="s">
        <v>16</v>
      </c>
      <c r="K192" s="1">
        <v>1</v>
      </c>
    </row>
    <row r="193" spans="1:11" x14ac:dyDescent="0.35">
      <c r="A193" s="1" t="s">
        <v>251</v>
      </c>
      <c r="B193" s="2">
        <v>45415</v>
      </c>
      <c r="C193" s="1" t="s">
        <v>12</v>
      </c>
      <c r="D193" s="1" t="s">
        <v>49</v>
      </c>
      <c r="E193" s="1" t="s">
        <v>99</v>
      </c>
      <c r="F193" s="1">
        <v>1</v>
      </c>
      <c r="G193" s="5">
        <v>56.87</v>
      </c>
      <c r="H193" s="5">
        <v>56.87</v>
      </c>
      <c r="I193" s="1" t="s">
        <v>59</v>
      </c>
      <c r="J193" s="1" t="s">
        <v>16</v>
      </c>
      <c r="K193" s="1">
        <v>2</v>
      </c>
    </row>
    <row r="194" spans="1:11" x14ac:dyDescent="0.35">
      <c r="A194" s="1" t="s">
        <v>252</v>
      </c>
      <c r="B194" s="2">
        <v>45342</v>
      </c>
      <c r="C194" s="1" t="s">
        <v>23</v>
      </c>
      <c r="D194" s="1" t="s">
        <v>19</v>
      </c>
      <c r="E194" s="1" t="s">
        <v>31</v>
      </c>
      <c r="F194" s="1">
        <v>2</v>
      </c>
      <c r="G194" s="5">
        <v>545.16999999999996</v>
      </c>
      <c r="H194" s="5">
        <v>1090.3399999999999</v>
      </c>
      <c r="I194" s="1" t="s">
        <v>67</v>
      </c>
      <c r="J194" s="1" t="s">
        <v>16</v>
      </c>
      <c r="K194" s="1">
        <v>1</v>
      </c>
    </row>
    <row r="195" spans="1:11" x14ac:dyDescent="0.35">
      <c r="A195" s="1" t="s">
        <v>253</v>
      </c>
      <c r="B195" s="2">
        <v>45359</v>
      </c>
      <c r="C195" s="1" t="s">
        <v>23</v>
      </c>
      <c r="D195" s="1" t="s">
        <v>19</v>
      </c>
      <c r="E195" s="1" t="s">
        <v>61</v>
      </c>
      <c r="F195" s="1">
        <v>3</v>
      </c>
      <c r="G195" s="5">
        <v>72.319999999999993</v>
      </c>
      <c r="H195" s="5">
        <v>216.95999999999998</v>
      </c>
      <c r="I195" s="1" t="s">
        <v>26</v>
      </c>
      <c r="J195" s="1" t="s">
        <v>16</v>
      </c>
      <c r="K195" s="1">
        <v>1</v>
      </c>
    </row>
    <row r="196" spans="1:11" x14ac:dyDescent="0.35">
      <c r="A196" s="1" t="s">
        <v>254</v>
      </c>
      <c r="B196" s="2">
        <v>45571</v>
      </c>
      <c r="C196" s="1" t="s">
        <v>45</v>
      </c>
      <c r="D196" s="1" t="s">
        <v>13</v>
      </c>
      <c r="E196" s="1" t="s">
        <v>64</v>
      </c>
      <c r="F196" s="1">
        <v>15</v>
      </c>
      <c r="G196" s="5">
        <v>195.37</v>
      </c>
      <c r="H196" s="5">
        <v>2930.55</v>
      </c>
      <c r="I196" s="1" t="s">
        <v>29</v>
      </c>
      <c r="J196" s="1" t="s">
        <v>16</v>
      </c>
      <c r="K196" s="1">
        <v>4</v>
      </c>
    </row>
    <row r="197" spans="1:11" x14ac:dyDescent="0.35">
      <c r="A197" s="1" t="s">
        <v>255</v>
      </c>
      <c r="B197" s="2">
        <v>45524</v>
      </c>
      <c r="C197" s="1" t="s">
        <v>23</v>
      </c>
      <c r="D197" s="1" t="s">
        <v>19</v>
      </c>
      <c r="E197" s="1" t="s">
        <v>61</v>
      </c>
      <c r="F197" s="1">
        <v>12</v>
      </c>
      <c r="G197" s="5">
        <v>67.72</v>
      </c>
      <c r="H197" s="5">
        <v>812.64</v>
      </c>
      <c r="I197" s="1" t="s">
        <v>62</v>
      </c>
      <c r="J197" s="1" t="s">
        <v>16</v>
      </c>
      <c r="K197" s="1">
        <v>3</v>
      </c>
    </row>
    <row r="198" spans="1:11" x14ac:dyDescent="0.35">
      <c r="A198" s="1" t="s">
        <v>256</v>
      </c>
      <c r="B198" s="2">
        <v>45349</v>
      </c>
      <c r="C198" s="1" t="s">
        <v>47</v>
      </c>
      <c r="D198" s="1" t="s">
        <v>49</v>
      </c>
      <c r="E198" s="1" t="s">
        <v>115</v>
      </c>
      <c r="F198" s="1">
        <v>1</v>
      </c>
      <c r="G198" s="5">
        <v>21.69</v>
      </c>
      <c r="H198" s="5">
        <v>21.69</v>
      </c>
      <c r="I198" s="1" t="s">
        <v>67</v>
      </c>
      <c r="J198" s="1" t="s">
        <v>16</v>
      </c>
      <c r="K198" s="1">
        <v>1</v>
      </c>
    </row>
    <row r="199" spans="1:11" x14ac:dyDescent="0.35">
      <c r="A199" s="1" t="s">
        <v>257</v>
      </c>
      <c r="B199" s="2">
        <v>45433</v>
      </c>
      <c r="C199" s="1" t="s">
        <v>47</v>
      </c>
      <c r="D199" s="1" t="s">
        <v>24</v>
      </c>
      <c r="E199" s="1" t="s">
        <v>25</v>
      </c>
      <c r="F199" s="1">
        <v>5</v>
      </c>
      <c r="G199" s="5">
        <v>260.35000000000002</v>
      </c>
      <c r="H199" s="5">
        <v>1301.75</v>
      </c>
      <c r="I199" s="1" t="s">
        <v>59</v>
      </c>
      <c r="J199" s="1" t="s">
        <v>16</v>
      </c>
      <c r="K199" s="1">
        <v>2</v>
      </c>
    </row>
    <row r="200" spans="1:11" x14ac:dyDescent="0.35">
      <c r="A200" s="1" t="s">
        <v>258</v>
      </c>
      <c r="B200" s="2">
        <v>45544</v>
      </c>
      <c r="C200" s="1" t="s">
        <v>18</v>
      </c>
      <c r="D200" s="1" t="s">
        <v>39</v>
      </c>
      <c r="E200" s="1" t="s">
        <v>86</v>
      </c>
      <c r="F200" s="1">
        <v>16</v>
      </c>
      <c r="G200" s="5">
        <v>190.18</v>
      </c>
      <c r="H200" s="5">
        <v>3042.88</v>
      </c>
      <c r="I200" s="1" t="s">
        <v>37</v>
      </c>
      <c r="J200" s="1" t="s">
        <v>16</v>
      </c>
      <c r="K200" s="1">
        <v>3</v>
      </c>
    </row>
    <row r="201" spans="1:11" x14ac:dyDescent="0.35">
      <c r="A201" s="1" t="s">
        <v>259</v>
      </c>
      <c r="B201" s="2">
        <v>45636</v>
      </c>
      <c r="C201" s="1" t="s">
        <v>18</v>
      </c>
      <c r="D201" s="1" t="s">
        <v>49</v>
      </c>
      <c r="E201" s="1" t="s">
        <v>99</v>
      </c>
      <c r="F201" s="1">
        <v>3</v>
      </c>
      <c r="G201" s="5">
        <v>59.42</v>
      </c>
      <c r="H201" s="5">
        <v>178.26</v>
      </c>
      <c r="I201" s="1" t="s">
        <v>21</v>
      </c>
      <c r="J201" s="1" t="s">
        <v>16</v>
      </c>
      <c r="K201" s="1">
        <v>4</v>
      </c>
    </row>
    <row r="202" spans="1:11" x14ac:dyDescent="0.35">
      <c r="A202" s="1" t="s">
        <v>260</v>
      </c>
      <c r="B202" s="2">
        <v>45398</v>
      </c>
      <c r="C202" s="1" t="s">
        <v>18</v>
      </c>
      <c r="D202" s="1" t="s">
        <v>39</v>
      </c>
      <c r="E202" s="1" t="s">
        <v>40</v>
      </c>
      <c r="F202" s="1">
        <v>17</v>
      </c>
      <c r="G202" s="5">
        <v>149.97</v>
      </c>
      <c r="H202" s="5">
        <v>2549.4899999999998</v>
      </c>
      <c r="I202" s="1" t="s">
        <v>54</v>
      </c>
      <c r="J202" s="1" t="s">
        <v>16</v>
      </c>
      <c r="K202" s="1">
        <v>2</v>
      </c>
    </row>
    <row r="203" spans="1:11" x14ac:dyDescent="0.35">
      <c r="A203" s="1" t="s">
        <v>261</v>
      </c>
      <c r="B203" s="2">
        <v>45573</v>
      </c>
      <c r="C203" s="1" t="s">
        <v>23</v>
      </c>
      <c r="D203" s="1" t="s">
        <v>39</v>
      </c>
      <c r="E203" s="1" t="s">
        <v>40</v>
      </c>
      <c r="F203" s="1">
        <v>14</v>
      </c>
      <c r="G203" s="5">
        <v>160.01</v>
      </c>
      <c r="H203" s="5">
        <v>2240.14</v>
      </c>
      <c r="I203" s="1" t="s">
        <v>29</v>
      </c>
      <c r="J203" s="1" t="s">
        <v>16</v>
      </c>
      <c r="K203" s="1">
        <v>4</v>
      </c>
    </row>
    <row r="204" spans="1:11" x14ac:dyDescent="0.35">
      <c r="A204" s="1" t="s">
        <v>262</v>
      </c>
      <c r="B204" s="2">
        <v>45397</v>
      </c>
      <c r="C204" s="1" t="s">
        <v>18</v>
      </c>
      <c r="D204" s="1" t="s">
        <v>49</v>
      </c>
      <c r="E204" s="1" t="s">
        <v>52</v>
      </c>
      <c r="F204" s="1">
        <v>16</v>
      </c>
      <c r="G204" s="5">
        <v>24.12</v>
      </c>
      <c r="H204" s="5">
        <v>385.92</v>
      </c>
      <c r="I204" s="1" t="s">
        <v>54</v>
      </c>
      <c r="J204" s="1" t="s">
        <v>16</v>
      </c>
      <c r="K204" s="1">
        <v>2</v>
      </c>
    </row>
    <row r="205" spans="1:11" x14ac:dyDescent="0.35">
      <c r="A205" s="1" t="s">
        <v>263</v>
      </c>
      <c r="B205" s="2">
        <v>45316</v>
      </c>
      <c r="C205" s="1" t="s">
        <v>47</v>
      </c>
      <c r="D205" s="1" t="s">
        <v>39</v>
      </c>
      <c r="E205" s="1" t="s">
        <v>40</v>
      </c>
      <c r="F205" s="1">
        <v>20</v>
      </c>
      <c r="G205" s="5">
        <v>161.27000000000001</v>
      </c>
      <c r="H205" s="5">
        <v>3225.4</v>
      </c>
      <c r="I205" s="1" t="s">
        <v>90</v>
      </c>
      <c r="J205" s="1" t="s">
        <v>16</v>
      </c>
      <c r="K205" s="1">
        <v>1</v>
      </c>
    </row>
    <row r="206" spans="1:11" x14ac:dyDescent="0.35">
      <c r="A206" s="1" t="s">
        <v>264</v>
      </c>
      <c r="B206" s="2">
        <v>45321</v>
      </c>
      <c r="C206" s="1" t="s">
        <v>45</v>
      </c>
      <c r="D206" s="1" t="s">
        <v>49</v>
      </c>
      <c r="E206" s="1" t="s">
        <v>99</v>
      </c>
      <c r="F206" s="1">
        <v>1</v>
      </c>
      <c r="G206" s="5">
        <v>57.84</v>
      </c>
      <c r="H206" s="5">
        <v>57.84</v>
      </c>
      <c r="I206" s="1" t="s">
        <v>90</v>
      </c>
      <c r="J206" s="1" t="s">
        <v>16</v>
      </c>
      <c r="K206" s="1">
        <v>1</v>
      </c>
    </row>
    <row r="207" spans="1:11" x14ac:dyDescent="0.35">
      <c r="A207" s="1" t="s">
        <v>265</v>
      </c>
      <c r="B207" s="2">
        <v>45387</v>
      </c>
      <c r="C207" s="1" t="s">
        <v>47</v>
      </c>
      <c r="D207" s="1" t="s">
        <v>39</v>
      </c>
      <c r="E207" s="1" t="s">
        <v>76</v>
      </c>
      <c r="F207" s="1">
        <v>19</v>
      </c>
      <c r="G207" s="5">
        <v>62.02</v>
      </c>
      <c r="H207" s="5">
        <v>1178.3800000000001</v>
      </c>
      <c r="I207" s="1" t="s">
        <v>54</v>
      </c>
      <c r="J207" s="1" t="s">
        <v>16</v>
      </c>
      <c r="K207" s="1">
        <v>2</v>
      </c>
    </row>
    <row r="208" spans="1:11" x14ac:dyDescent="0.35">
      <c r="A208" s="1" t="s">
        <v>266</v>
      </c>
      <c r="B208" s="2">
        <v>45512</v>
      </c>
      <c r="C208" s="1" t="s">
        <v>45</v>
      </c>
      <c r="D208" s="1" t="s">
        <v>39</v>
      </c>
      <c r="E208" s="1" t="s">
        <v>76</v>
      </c>
      <c r="F208" s="1">
        <v>13</v>
      </c>
      <c r="G208" s="5">
        <v>59.29</v>
      </c>
      <c r="H208" s="5">
        <v>770.77</v>
      </c>
      <c r="I208" s="1" t="s">
        <v>62</v>
      </c>
      <c r="J208" s="1" t="s">
        <v>16</v>
      </c>
      <c r="K208" s="1">
        <v>3</v>
      </c>
    </row>
    <row r="209" spans="1:11" x14ac:dyDescent="0.35">
      <c r="A209" s="1" t="s">
        <v>267</v>
      </c>
      <c r="B209" s="2">
        <v>45534</v>
      </c>
      <c r="C209" s="1" t="s">
        <v>45</v>
      </c>
      <c r="D209" s="1" t="s">
        <v>13</v>
      </c>
      <c r="E209" s="1" t="s">
        <v>119</v>
      </c>
      <c r="F209" s="1">
        <v>5</v>
      </c>
      <c r="G209" s="5">
        <v>264.44</v>
      </c>
      <c r="H209" s="5">
        <v>1322.2</v>
      </c>
      <c r="I209" s="1" t="s">
        <v>62</v>
      </c>
      <c r="J209" s="1" t="s">
        <v>16</v>
      </c>
      <c r="K209" s="1">
        <v>3</v>
      </c>
    </row>
    <row r="210" spans="1:11" x14ac:dyDescent="0.35">
      <c r="A210" s="1" t="s">
        <v>268</v>
      </c>
      <c r="B210" s="2">
        <v>45614</v>
      </c>
      <c r="C210" s="1" t="s">
        <v>18</v>
      </c>
      <c r="D210" s="1" t="s">
        <v>24</v>
      </c>
      <c r="E210" s="1" t="s">
        <v>93</v>
      </c>
      <c r="F210" s="1">
        <v>12</v>
      </c>
      <c r="G210" s="5">
        <v>45.99</v>
      </c>
      <c r="H210" s="5">
        <v>551.88</v>
      </c>
      <c r="I210" s="1" t="s">
        <v>41</v>
      </c>
      <c r="J210" s="1" t="s">
        <v>16</v>
      </c>
      <c r="K210" s="1">
        <v>4</v>
      </c>
    </row>
    <row r="211" spans="1:11" x14ac:dyDescent="0.35">
      <c r="A211" s="1" t="s">
        <v>269</v>
      </c>
      <c r="B211" s="2">
        <v>45451</v>
      </c>
      <c r="C211" s="1" t="s">
        <v>45</v>
      </c>
      <c r="D211" s="1" t="s">
        <v>24</v>
      </c>
      <c r="E211" s="1" t="s">
        <v>93</v>
      </c>
      <c r="F211" s="1">
        <v>17</v>
      </c>
      <c r="G211" s="5">
        <v>46.72</v>
      </c>
      <c r="H211" s="5">
        <v>794.24</v>
      </c>
      <c r="I211" s="1" t="s">
        <v>15</v>
      </c>
      <c r="J211" s="1" t="s">
        <v>16</v>
      </c>
      <c r="K211" s="1">
        <v>2</v>
      </c>
    </row>
    <row r="212" spans="1:11" x14ac:dyDescent="0.35">
      <c r="A212" s="1" t="s">
        <v>270</v>
      </c>
      <c r="B212" s="2">
        <v>45443</v>
      </c>
      <c r="C212" s="1" t="s">
        <v>23</v>
      </c>
      <c r="D212" s="1" t="s">
        <v>49</v>
      </c>
      <c r="E212" s="1" t="s">
        <v>81</v>
      </c>
      <c r="F212" s="1">
        <v>7</v>
      </c>
      <c r="G212" s="5">
        <v>14.55</v>
      </c>
      <c r="H212" s="5">
        <v>101.85000000000001</v>
      </c>
      <c r="I212" s="1" t="s">
        <v>59</v>
      </c>
      <c r="J212" s="1" t="s">
        <v>16</v>
      </c>
      <c r="K212" s="1">
        <v>2</v>
      </c>
    </row>
    <row r="213" spans="1:11" x14ac:dyDescent="0.35">
      <c r="A213" s="1" t="s">
        <v>271</v>
      </c>
      <c r="B213" s="2">
        <v>45529</v>
      </c>
      <c r="C213" s="1" t="s">
        <v>18</v>
      </c>
      <c r="D213" s="1" t="s">
        <v>49</v>
      </c>
      <c r="E213" s="1" t="s">
        <v>115</v>
      </c>
      <c r="F213" s="1">
        <v>13</v>
      </c>
      <c r="G213" s="5">
        <v>23.62</v>
      </c>
      <c r="H213" s="5">
        <v>307.06</v>
      </c>
      <c r="I213" s="1" t="s">
        <v>62</v>
      </c>
      <c r="J213" s="1" t="s">
        <v>16</v>
      </c>
      <c r="K213" s="1">
        <v>3</v>
      </c>
    </row>
    <row r="214" spans="1:11" x14ac:dyDescent="0.35">
      <c r="A214" s="1" t="s">
        <v>272</v>
      </c>
      <c r="B214" s="2">
        <v>45586</v>
      </c>
      <c r="C214" s="1" t="s">
        <v>45</v>
      </c>
      <c r="D214" s="1" t="s">
        <v>49</v>
      </c>
      <c r="E214" s="1" t="s">
        <v>52</v>
      </c>
      <c r="F214" s="1">
        <v>13</v>
      </c>
      <c r="G214" s="5">
        <v>25.49</v>
      </c>
      <c r="H214" s="5">
        <v>331.37</v>
      </c>
      <c r="I214" s="1" t="s">
        <v>29</v>
      </c>
      <c r="J214" s="1" t="s">
        <v>16</v>
      </c>
      <c r="K214" s="1">
        <v>4</v>
      </c>
    </row>
    <row r="215" spans="1:11" x14ac:dyDescent="0.35">
      <c r="A215" s="1" t="s">
        <v>273</v>
      </c>
      <c r="B215" s="2">
        <v>45575</v>
      </c>
      <c r="C215" s="1" t="s">
        <v>47</v>
      </c>
      <c r="D215" s="1" t="s">
        <v>49</v>
      </c>
      <c r="E215" s="1" t="s">
        <v>115</v>
      </c>
      <c r="F215" s="1">
        <v>14</v>
      </c>
      <c r="G215" s="5">
        <v>24.09</v>
      </c>
      <c r="H215" s="5">
        <v>337.26</v>
      </c>
      <c r="I215" s="1" t="s">
        <v>29</v>
      </c>
      <c r="J215" s="1" t="s">
        <v>16</v>
      </c>
      <c r="K215" s="1">
        <v>4</v>
      </c>
    </row>
    <row r="216" spans="1:11" x14ac:dyDescent="0.35">
      <c r="A216" s="1" t="s">
        <v>274</v>
      </c>
      <c r="B216" s="2">
        <v>45579</v>
      </c>
      <c r="C216" s="1" t="s">
        <v>47</v>
      </c>
      <c r="D216" s="1" t="s">
        <v>39</v>
      </c>
      <c r="E216" s="1" t="s">
        <v>86</v>
      </c>
      <c r="F216" s="1">
        <v>15</v>
      </c>
      <c r="G216" s="5">
        <v>192.71</v>
      </c>
      <c r="H216" s="5">
        <v>2890.65</v>
      </c>
      <c r="I216" s="1" t="s">
        <v>29</v>
      </c>
      <c r="J216" s="1" t="s">
        <v>16</v>
      </c>
      <c r="K216" s="1">
        <v>4</v>
      </c>
    </row>
    <row r="217" spans="1:11" x14ac:dyDescent="0.35">
      <c r="A217" s="1" t="s">
        <v>275</v>
      </c>
      <c r="B217" s="2">
        <v>45409</v>
      </c>
      <c r="C217" s="1" t="s">
        <v>12</v>
      </c>
      <c r="D217" s="1" t="s">
        <v>19</v>
      </c>
      <c r="E217" s="1" t="s">
        <v>83</v>
      </c>
      <c r="F217" s="1">
        <v>7</v>
      </c>
      <c r="G217" s="5">
        <v>409.47</v>
      </c>
      <c r="H217" s="5">
        <v>2866.29</v>
      </c>
      <c r="I217" s="1" t="s">
        <v>54</v>
      </c>
      <c r="J217" s="1" t="s">
        <v>16</v>
      </c>
      <c r="K217" s="1">
        <v>2</v>
      </c>
    </row>
    <row r="218" spans="1:11" x14ac:dyDescent="0.35">
      <c r="A218" s="1" t="s">
        <v>276</v>
      </c>
      <c r="B218" s="2">
        <v>45451</v>
      </c>
      <c r="C218" s="1" t="s">
        <v>47</v>
      </c>
      <c r="D218" s="1" t="s">
        <v>39</v>
      </c>
      <c r="E218" s="1" t="s">
        <v>76</v>
      </c>
      <c r="F218" s="1">
        <v>20</v>
      </c>
      <c r="G218" s="5">
        <v>58</v>
      </c>
      <c r="H218" s="5">
        <v>1160</v>
      </c>
      <c r="I218" s="1" t="s">
        <v>15</v>
      </c>
      <c r="J218" s="1" t="s">
        <v>16</v>
      </c>
      <c r="K218" s="1">
        <v>2</v>
      </c>
    </row>
    <row r="219" spans="1:11" x14ac:dyDescent="0.35">
      <c r="A219" s="1" t="s">
        <v>277</v>
      </c>
      <c r="B219" s="2">
        <v>45501</v>
      </c>
      <c r="C219" s="1" t="s">
        <v>18</v>
      </c>
      <c r="D219" s="1" t="s">
        <v>13</v>
      </c>
      <c r="E219" s="1" t="s">
        <v>36</v>
      </c>
      <c r="F219" s="1">
        <v>10</v>
      </c>
      <c r="G219" s="5">
        <v>17.899999999999999</v>
      </c>
      <c r="H219" s="5">
        <v>179</v>
      </c>
      <c r="I219" s="1" t="s">
        <v>56</v>
      </c>
      <c r="J219" s="1" t="s">
        <v>16</v>
      </c>
      <c r="K219" s="1">
        <v>3</v>
      </c>
    </row>
    <row r="220" spans="1:11" x14ac:dyDescent="0.35">
      <c r="A220" s="1" t="s">
        <v>278</v>
      </c>
      <c r="B220" s="2">
        <v>45296</v>
      </c>
      <c r="C220" s="1" t="s">
        <v>47</v>
      </c>
      <c r="D220" s="1" t="s">
        <v>13</v>
      </c>
      <c r="E220" s="1" t="s">
        <v>14</v>
      </c>
      <c r="F220" s="1">
        <v>20</v>
      </c>
      <c r="G220" s="5">
        <v>135.28</v>
      </c>
      <c r="H220" s="5">
        <v>2705.6</v>
      </c>
      <c r="I220" s="1" t="s">
        <v>90</v>
      </c>
      <c r="J220" s="1" t="s">
        <v>16</v>
      </c>
      <c r="K220" s="1">
        <v>1</v>
      </c>
    </row>
    <row r="221" spans="1:11" x14ac:dyDescent="0.35">
      <c r="A221" s="1" t="s">
        <v>279</v>
      </c>
      <c r="B221" s="2">
        <v>45330</v>
      </c>
      <c r="C221" s="1" t="s">
        <v>47</v>
      </c>
      <c r="D221" s="1" t="s">
        <v>24</v>
      </c>
      <c r="E221" s="1" t="s">
        <v>34</v>
      </c>
      <c r="F221" s="1">
        <v>15</v>
      </c>
      <c r="G221" s="5">
        <v>95.35</v>
      </c>
      <c r="H221" s="5">
        <v>1430.25</v>
      </c>
      <c r="I221" s="1" t="s">
        <v>67</v>
      </c>
      <c r="J221" s="1" t="s">
        <v>16</v>
      </c>
      <c r="K221" s="1">
        <v>1</v>
      </c>
    </row>
    <row r="222" spans="1:11" x14ac:dyDescent="0.35">
      <c r="A222" s="1" t="s">
        <v>280</v>
      </c>
      <c r="B222" s="2">
        <v>45529</v>
      </c>
      <c r="C222" s="1" t="s">
        <v>23</v>
      </c>
      <c r="D222" s="1" t="s">
        <v>13</v>
      </c>
      <c r="E222" s="1" t="s">
        <v>14</v>
      </c>
      <c r="F222" s="1">
        <v>7</v>
      </c>
      <c r="G222" s="5">
        <v>147.32</v>
      </c>
      <c r="H222" s="5">
        <v>1031.24</v>
      </c>
      <c r="I222" s="1" t="s">
        <v>62</v>
      </c>
      <c r="J222" s="1" t="s">
        <v>16</v>
      </c>
      <c r="K222" s="1">
        <v>3</v>
      </c>
    </row>
    <row r="223" spans="1:11" x14ac:dyDescent="0.35">
      <c r="A223" s="1" t="s">
        <v>281</v>
      </c>
      <c r="B223" s="2">
        <v>45553</v>
      </c>
      <c r="C223" s="1" t="s">
        <v>47</v>
      </c>
      <c r="D223" s="1" t="s">
        <v>24</v>
      </c>
      <c r="E223" s="1" t="s">
        <v>25</v>
      </c>
      <c r="F223" s="1">
        <v>8</v>
      </c>
      <c r="G223" s="5">
        <v>253.61</v>
      </c>
      <c r="H223" s="5">
        <v>2028.88</v>
      </c>
      <c r="I223" s="1" t="s">
        <v>37</v>
      </c>
      <c r="J223" s="1" t="s">
        <v>16</v>
      </c>
      <c r="K223" s="1">
        <v>3</v>
      </c>
    </row>
    <row r="224" spans="1:11" x14ac:dyDescent="0.35">
      <c r="A224" s="1" t="s">
        <v>282</v>
      </c>
      <c r="B224" s="2">
        <v>45606</v>
      </c>
      <c r="C224" s="1" t="s">
        <v>18</v>
      </c>
      <c r="D224" s="1" t="s">
        <v>13</v>
      </c>
      <c r="E224" s="1" t="s">
        <v>14</v>
      </c>
      <c r="F224" s="1">
        <v>15</v>
      </c>
      <c r="G224" s="5">
        <v>144.15</v>
      </c>
      <c r="H224" s="5">
        <v>2162.25</v>
      </c>
      <c r="I224" s="1" t="s">
        <v>41</v>
      </c>
      <c r="J224" s="1" t="s">
        <v>16</v>
      </c>
      <c r="K224" s="1">
        <v>4</v>
      </c>
    </row>
    <row r="225" spans="1:11" x14ac:dyDescent="0.35">
      <c r="A225" s="1" t="s">
        <v>283</v>
      </c>
      <c r="B225" s="2">
        <v>45645</v>
      </c>
      <c r="C225" s="1" t="s">
        <v>45</v>
      </c>
      <c r="D225" s="1" t="s">
        <v>39</v>
      </c>
      <c r="E225" s="1" t="s">
        <v>40</v>
      </c>
      <c r="F225" s="1">
        <v>12</v>
      </c>
      <c r="G225" s="5">
        <v>151.34</v>
      </c>
      <c r="H225" s="5">
        <v>1816.08</v>
      </c>
      <c r="I225" s="1" t="s">
        <v>21</v>
      </c>
      <c r="J225" s="1" t="s">
        <v>16</v>
      </c>
      <c r="K225" s="1">
        <v>4</v>
      </c>
    </row>
    <row r="226" spans="1:11" x14ac:dyDescent="0.35">
      <c r="A226" s="1" t="s">
        <v>284</v>
      </c>
      <c r="B226" s="2">
        <v>45568</v>
      </c>
      <c r="C226" s="1" t="s">
        <v>12</v>
      </c>
      <c r="D226" s="1" t="s">
        <v>49</v>
      </c>
      <c r="E226" s="1" t="s">
        <v>50</v>
      </c>
      <c r="F226" s="1">
        <v>20</v>
      </c>
      <c r="G226" s="5">
        <v>18.16</v>
      </c>
      <c r="H226" s="5">
        <v>363.2</v>
      </c>
      <c r="I226" s="1" t="s">
        <v>29</v>
      </c>
      <c r="J226" s="1" t="s">
        <v>16</v>
      </c>
      <c r="K226" s="1">
        <v>4</v>
      </c>
    </row>
    <row r="227" spans="1:11" x14ac:dyDescent="0.35">
      <c r="A227" s="1" t="s">
        <v>285</v>
      </c>
      <c r="B227" s="2">
        <v>45587</v>
      </c>
      <c r="C227" s="1" t="s">
        <v>45</v>
      </c>
      <c r="D227" s="1" t="s">
        <v>24</v>
      </c>
      <c r="E227" s="1" t="s">
        <v>43</v>
      </c>
      <c r="F227" s="1">
        <v>14</v>
      </c>
      <c r="G227" s="5">
        <v>80.72</v>
      </c>
      <c r="H227" s="5">
        <v>1130.08</v>
      </c>
      <c r="I227" s="1" t="s">
        <v>29</v>
      </c>
      <c r="J227" s="1" t="s">
        <v>16</v>
      </c>
      <c r="K227" s="1">
        <v>4</v>
      </c>
    </row>
    <row r="228" spans="1:11" x14ac:dyDescent="0.35">
      <c r="A228" s="1" t="s">
        <v>286</v>
      </c>
      <c r="B228" s="2">
        <v>45657</v>
      </c>
      <c r="C228" s="1" t="s">
        <v>47</v>
      </c>
      <c r="D228" s="1" t="s">
        <v>13</v>
      </c>
      <c r="E228" s="1" t="s">
        <v>119</v>
      </c>
      <c r="F228" s="1">
        <v>2</v>
      </c>
      <c r="G228" s="5">
        <v>245.8</v>
      </c>
      <c r="H228" s="5">
        <v>491.6</v>
      </c>
      <c r="I228" s="1" t="s">
        <v>21</v>
      </c>
      <c r="J228" s="1" t="s">
        <v>16</v>
      </c>
      <c r="K228" s="1">
        <v>4</v>
      </c>
    </row>
    <row r="229" spans="1:11" x14ac:dyDescent="0.35">
      <c r="A229" s="1" t="s">
        <v>287</v>
      </c>
      <c r="B229" s="2">
        <v>45441</v>
      </c>
      <c r="C229" s="1" t="s">
        <v>12</v>
      </c>
      <c r="D229" s="1" t="s">
        <v>49</v>
      </c>
      <c r="E229" s="1" t="s">
        <v>50</v>
      </c>
      <c r="F229" s="1">
        <v>18</v>
      </c>
      <c r="G229" s="5">
        <v>20.63</v>
      </c>
      <c r="H229" s="5">
        <v>371.34</v>
      </c>
      <c r="I229" s="1" t="s">
        <v>59</v>
      </c>
      <c r="J229" s="1" t="s">
        <v>16</v>
      </c>
      <c r="K229" s="1">
        <v>2</v>
      </c>
    </row>
    <row r="230" spans="1:11" x14ac:dyDescent="0.35">
      <c r="A230" s="1" t="s">
        <v>288</v>
      </c>
      <c r="B230" s="2">
        <v>45634</v>
      </c>
      <c r="C230" s="1" t="s">
        <v>45</v>
      </c>
      <c r="D230" s="1" t="s">
        <v>39</v>
      </c>
      <c r="E230" s="1" t="s">
        <v>86</v>
      </c>
      <c r="F230" s="1">
        <v>4</v>
      </c>
      <c r="G230" s="5">
        <v>200.47</v>
      </c>
      <c r="H230" s="5">
        <v>801.88</v>
      </c>
      <c r="I230" s="1" t="s">
        <v>21</v>
      </c>
      <c r="J230" s="1" t="s">
        <v>16</v>
      </c>
      <c r="K230" s="1">
        <v>4</v>
      </c>
    </row>
    <row r="231" spans="1:11" x14ac:dyDescent="0.35">
      <c r="A231" s="1" t="s">
        <v>289</v>
      </c>
      <c r="B231" s="2">
        <v>45533</v>
      </c>
      <c r="C231" s="1" t="s">
        <v>23</v>
      </c>
      <c r="D231" s="1" t="s">
        <v>49</v>
      </c>
      <c r="E231" s="1" t="s">
        <v>81</v>
      </c>
      <c r="F231" s="1">
        <v>6</v>
      </c>
      <c r="G231" s="5">
        <v>16.350000000000001</v>
      </c>
      <c r="H231" s="5">
        <v>98.100000000000009</v>
      </c>
      <c r="I231" s="1" t="s">
        <v>62</v>
      </c>
      <c r="J231" s="1" t="s">
        <v>16</v>
      </c>
      <c r="K231" s="1">
        <v>3</v>
      </c>
    </row>
    <row r="232" spans="1:11" x14ac:dyDescent="0.35">
      <c r="A232" s="1" t="s">
        <v>290</v>
      </c>
      <c r="B232" s="2">
        <v>45362</v>
      </c>
      <c r="C232" s="1" t="s">
        <v>45</v>
      </c>
      <c r="D232" s="1" t="s">
        <v>24</v>
      </c>
      <c r="E232" s="1" t="s">
        <v>73</v>
      </c>
      <c r="F232" s="1">
        <v>5</v>
      </c>
      <c r="G232" s="5">
        <v>122.73</v>
      </c>
      <c r="H232" s="5">
        <v>613.65</v>
      </c>
      <c r="I232" s="1" t="s">
        <v>26</v>
      </c>
      <c r="J232" s="1" t="s">
        <v>16</v>
      </c>
      <c r="K232" s="1">
        <v>1</v>
      </c>
    </row>
    <row r="233" spans="1:11" x14ac:dyDescent="0.35">
      <c r="A233" s="1" t="s">
        <v>291</v>
      </c>
      <c r="B233" s="2">
        <v>45447</v>
      </c>
      <c r="C233" s="1" t="s">
        <v>12</v>
      </c>
      <c r="D233" s="1" t="s">
        <v>24</v>
      </c>
      <c r="E233" s="1" t="s">
        <v>70</v>
      </c>
      <c r="F233" s="1">
        <v>8</v>
      </c>
      <c r="G233" s="5">
        <v>1298.6199999999999</v>
      </c>
      <c r="H233" s="5">
        <v>10388.959999999999</v>
      </c>
      <c r="I233" s="1" t="s">
        <v>15</v>
      </c>
      <c r="J233" s="1" t="s">
        <v>16</v>
      </c>
      <c r="K233" s="1">
        <v>2</v>
      </c>
    </row>
    <row r="234" spans="1:11" x14ac:dyDescent="0.35">
      <c r="A234" s="1" t="s">
        <v>292</v>
      </c>
      <c r="B234" s="2">
        <v>45410</v>
      </c>
      <c r="C234" s="1" t="s">
        <v>18</v>
      </c>
      <c r="D234" s="1" t="s">
        <v>49</v>
      </c>
      <c r="E234" s="1" t="s">
        <v>52</v>
      </c>
      <c r="F234" s="1">
        <v>15</v>
      </c>
      <c r="G234" s="5">
        <v>27.4</v>
      </c>
      <c r="H234" s="5">
        <v>411</v>
      </c>
      <c r="I234" s="1" t="s">
        <v>54</v>
      </c>
      <c r="J234" s="1" t="s">
        <v>16</v>
      </c>
      <c r="K234" s="1">
        <v>2</v>
      </c>
    </row>
    <row r="235" spans="1:11" x14ac:dyDescent="0.35">
      <c r="A235" s="1" t="s">
        <v>293</v>
      </c>
      <c r="B235" s="2">
        <v>45312</v>
      </c>
      <c r="C235" s="1" t="s">
        <v>47</v>
      </c>
      <c r="D235" s="1" t="s">
        <v>19</v>
      </c>
      <c r="E235" s="1" t="s">
        <v>20</v>
      </c>
      <c r="F235" s="1">
        <v>18</v>
      </c>
      <c r="G235" s="5">
        <v>87.45</v>
      </c>
      <c r="H235" s="5">
        <v>1574.1000000000001</v>
      </c>
      <c r="I235" s="1" t="s">
        <v>90</v>
      </c>
      <c r="J235" s="1" t="s">
        <v>16</v>
      </c>
      <c r="K235" s="1">
        <v>1</v>
      </c>
    </row>
    <row r="236" spans="1:11" x14ac:dyDescent="0.35">
      <c r="A236" s="1" t="s">
        <v>294</v>
      </c>
      <c r="B236" s="2">
        <v>45648</v>
      </c>
      <c r="C236" s="1" t="s">
        <v>23</v>
      </c>
      <c r="D236" s="1" t="s">
        <v>24</v>
      </c>
      <c r="E236" s="1" t="s">
        <v>93</v>
      </c>
      <c r="F236" s="1">
        <v>13</v>
      </c>
      <c r="G236" s="5">
        <v>45.56</v>
      </c>
      <c r="H236" s="5">
        <v>592.28</v>
      </c>
      <c r="I236" s="1" t="s">
        <v>21</v>
      </c>
      <c r="J236" s="1" t="s">
        <v>16</v>
      </c>
      <c r="K236" s="1">
        <v>4</v>
      </c>
    </row>
    <row r="237" spans="1:11" x14ac:dyDescent="0.35">
      <c r="A237" s="1" t="s">
        <v>295</v>
      </c>
      <c r="B237" s="2">
        <v>45388</v>
      </c>
      <c r="C237" s="1" t="s">
        <v>45</v>
      </c>
      <c r="D237" s="1" t="s">
        <v>49</v>
      </c>
      <c r="E237" s="1" t="s">
        <v>50</v>
      </c>
      <c r="F237" s="1">
        <v>8</v>
      </c>
      <c r="G237" s="5">
        <v>18.690000000000001</v>
      </c>
      <c r="H237" s="5">
        <v>149.52000000000001</v>
      </c>
      <c r="I237" s="1" t="s">
        <v>54</v>
      </c>
      <c r="J237" s="1" t="s">
        <v>16</v>
      </c>
      <c r="K237" s="1">
        <v>2</v>
      </c>
    </row>
    <row r="238" spans="1:11" x14ac:dyDescent="0.35">
      <c r="A238" s="1" t="s">
        <v>296</v>
      </c>
      <c r="B238" s="2">
        <v>45564</v>
      </c>
      <c r="C238" s="1" t="s">
        <v>23</v>
      </c>
      <c r="D238" s="1" t="s">
        <v>13</v>
      </c>
      <c r="E238" s="1" t="s">
        <v>101</v>
      </c>
      <c r="F238" s="1">
        <v>6</v>
      </c>
      <c r="G238" s="5">
        <v>48.93</v>
      </c>
      <c r="H238" s="5">
        <v>293.58</v>
      </c>
      <c r="I238" s="1" t="s">
        <v>37</v>
      </c>
      <c r="J238" s="1" t="s">
        <v>16</v>
      </c>
      <c r="K238" s="1">
        <v>3</v>
      </c>
    </row>
    <row r="239" spans="1:11" x14ac:dyDescent="0.35">
      <c r="A239" s="1" t="s">
        <v>297</v>
      </c>
      <c r="B239" s="2">
        <v>45391</v>
      </c>
      <c r="C239" s="1" t="s">
        <v>18</v>
      </c>
      <c r="D239" s="1" t="s">
        <v>24</v>
      </c>
      <c r="E239" s="1" t="s">
        <v>73</v>
      </c>
      <c r="F239" s="1">
        <v>13</v>
      </c>
      <c r="G239" s="5">
        <v>132.80000000000001</v>
      </c>
      <c r="H239" s="5">
        <v>1726.4</v>
      </c>
      <c r="I239" s="1" t="s">
        <v>54</v>
      </c>
      <c r="J239" s="1" t="s">
        <v>16</v>
      </c>
      <c r="K239" s="1">
        <v>2</v>
      </c>
    </row>
    <row r="240" spans="1:11" x14ac:dyDescent="0.35">
      <c r="A240" s="1" t="s">
        <v>298</v>
      </c>
      <c r="B240" s="2">
        <v>45464</v>
      </c>
      <c r="C240" s="1" t="s">
        <v>23</v>
      </c>
      <c r="D240" s="1" t="s">
        <v>39</v>
      </c>
      <c r="E240" s="1" t="s">
        <v>76</v>
      </c>
      <c r="F240" s="1">
        <v>16</v>
      </c>
      <c r="G240" s="5">
        <v>63.65</v>
      </c>
      <c r="H240" s="5">
        <v>1018.4</v>
      </c>
      <c r="I240" s="1" t="s">
        <v>15</v>
      </c>
      <c r="J240" s="1" t="s">
        <v>16</v>
      </c>
      <c r="K240" s="1">
        <v>2</v>
      </c>
    </row>
    <row r="241" spans="1:11" x14ac:dyDescent="0.35">
      <c r="A241" s="1" t="s">
        <v>299</v>
      </c>
      <c r="B241" s="2">
        <v>45554</v>
      </c>
      <c r="C241" s="1" t="s">
        <v>12</v>
      </c>
      <c r="D241" s="1" t="s">
        <v>24</v>
      </c>
      <c r="E241" s="1" t="s">
        <v>70</v>
      </c>
      <c r="F241" s="1">
        <v>3</v>
      </c>
      <c r="G241" s="5">
        <v>1202.7</v>
      </c>
      <c r="H241" s="5">
        <v>3608.1000000000004</v>
      </c>
      <c r="I241" s="1" t="s">
        <v>37</v>
      </c>
      <c r="J241" s="1" t="s">
        <v>16</v>
      </c>
      <c r="K241" s="1">
        <v>3</v>
      </c>
    </row>
    <row r="242" spans="1:11" x14ac:dyDescent="0.35">
      <c r="A242" s="1" t="s">
        <v>300</v>
      </c>
      <c r="B242" s="2">
        <v>45627</v>
      </c>
      <c r="C242" s="1" t="s">
        <v>45</v>
      </c>
      <c r="D242" s="1" t="s">
        <v>24</v>
      </c>
      <c r="E242" s="1" t="s">
        <v>25</v>
      </c>
      <c r="F242" s="1">
        <v>20</v>
      </c>
      <c r="G242" s="5">
        <v>239.16</v>
      </c>
      <c r="H242" s="5">
        <v>4783.2</v>
      </c>
      <c r="I242" s="1" t="s">
        <v>21</v>
      </c>
      <c r="J242" s="1" t="s">
        <v>16</v>
      </c>
      <c r="K242" s="1">
        <v>4</v>
      </c>
    </row>
    <row r="243" spans="1:11" x14ac:dyDescent="0.35">
      <c r="A243" s="1" t="s">
        <v>301</v>
      </c>
      <c r="B243" s="2">
        <v>45572</v>
      </c>
      <c r="C243" s="1" t="s">
        <v>12</v>
      </c>
      <c r="D243" s="1" t="s">
        <v>19</v>
      </c>
      <c r="E243" s="1" t="s">
        <v>28</v>
      </c>
      <c r="F243" s="1">
        <v>15</v>
      </c>
      <c r="G243" s="5">
        <v>28.68</v>
      </c>
      <c r="H243" s="5">
        <v>430.2</v>
      </c>
      <c r="I243" s="1" t="s">
        <v>29</v>
      </c>
      <c r="J243" s="1" t="s">
        <v>16</v>
      </c>
      <c r="K243" s="1">
        <v>4</v>
      </c>
    </row>
    <row r="244" spans="1:11" x14ac:dyDescent="0.35">
      <c r="A244" s="1" t="s">
        <v>302</v>
      </c>
      <c r="B244" s="2">
        <v>45394</v>
      </c>
      <c r="C244" s="1" t="s">
        <v>23</v>
      </c>
      <c r="D244" s="1" t="s">
        <v>19</v>
      </c>
      <c r="E244" s="1" t="s">
        <v>61</v>
      </c>
      <c r="F244" s="1">
        <v>9</v>
      </c>
      <c r="G244" s="5">
        <v>67.069999999999993</v>
      </c>
      <c r="H244" s="5">
        <v>603.62999999999988</v>
      </c>
      <c r="I244" s="1" t="s">
        <v>54</v>
      </c>
      <c r="J244" s="1" t="s">
        <v>16</v>
      </c>
      <c r="K244" s="1">
        <v>2</v>
      </c>
    </row>
    <row r="245" spans="1:11" x14ac:dyDescent="0.35">
      <c r="A245" s="1" t="s">
        <v>303</v>
      </c>
      <c r="B245" s="2">
        <v>45429</v>
      </c>
      <c r="C245" s="1" t="s">
        <v>18</v>
      </c>
      <c r="D245" s="1" t="s">
        <v>24</v>
      </c>
      <c r="E245" s="1" t="s">
        <v>34</v>
      </c>
      <c r="F245" s="1">
        <v>4</v>
      </c>
      <c r="G245" s="5">
        <v>85.69</v>
      </c>
      <c r="H245" s="5">
        <v>342.76</v>
      </c>
      <c r="I245" s="1" t="s">
        <v>59</v>
      </c>
      <c r="J245" s="1" t="s">
        <v>16</v>
      </c>
      <c r="K245" s="1">
        <v>2</v>
      </c>
    </row>
    <row r="246" spans="1:11" x14ac:dyDescent="0.35">
      <c r="A246" s="1" t="s">
        <v>304</v>
      </c>
      <c r="B246" s="2">
        <v>45491</v>
      </c>
      <c r="C246" s="1" t="s">
        <v>47</v>
      </c>
      <c r="D246" s="1" t="s">
        <v>13</v>
      </c>
      <c r="E246" s="1" t="s">
        <v>64</v>
      </c>
      <c r="F246" s="1">
        <v>20</v>
      </c>
      <c r="G246" s="5">
        <v>171.75</v>
      </c>
      <c r="H246" s="5">
        <v>3435</v>
      </c>
      <c r="I246" s="1" t="s">
        <v>56</v>
      </c>
      <c r="J246" s="1" t="s">
        <v>16</v>
      </c>
      <c r="K246" s="1">
        <v>3</v>
      </c>
    </row>
    <row r="247" spans="1:11" x14ac:dyDescent="0.35">
      <c r="A247" s="1" t="s">
        <v>305</v>
      </c>
      <c r="B247" s="2">
        <v>45449</v>
      </c>
      <c r="C247" s="1" t="s">
        <v>23</v>
      </c>
      <c r="D247" s="1" t="s">
        <v>24</v>
      </c>
      <c r="E247" s="1" t="s">
        <v>25</v>
      </c>
      <c r="F247" s="1">
        <v>7</v>
      </c>
      <c r="G247" s="5">
        <v>262.02999999999997</v>
      </c>
      <c r="H247" s="5">
        <v>1834.2099999999998</v>
      </c>
      <c r="I247" s="1" t="s">
        <v>15</v>
      </c>
      <c r="J247" s="1" t="s">
        <v>16</v>
      </c>
      <c r="K247" s="1">
        <v>2</v>
      </c>
    </row>
    <row r="248" spans="1:11" x14ac:dyDescent="0.35">
      <c r="A248" s="1" t="s">
        <v>306</v>
      </c>
      <c r="B248" s="2">
        <v>45432</v>
      </c>
      <c r="C248" s="1" t="s">
        <v>23</v>
      </c>
      <c r="D248" s="1" t="s">
        <v>13</v>
      </c>
      <c r="E248" s="1" t="s">
        <v>101</v>
      </c>
      <c r="F248" s="1">
        <v>19</v>
      </c>
      <c r="G248" s="5">
        <v>47.83</v>
      </c>
      <c r="H248" s="5">
        <v>908.77</v>
      </c>
      <c r="I248" s="1" t="s">
        <v>59</v>
      </c>
      <c r="J248" s="1" t="s">
        <v>16</v>
      </c>
      <c r="K248" s="1">
        <v>2</v>
      </c>
    </row>
    <row r="249" spans="1:11" x14ac:dyDescent="0.35">
      <c r="A249" s="1" t="s">
        <v>307</v>
      </c>
      <c r="B249" s="2">
        <v>45612</v>
      </c>
      <c r="C249" s="1" t="s">
        <v>45</v>
      </c>
      <c r="D249" s="1" t="s">
        <v>39</v>
      </c>
      <c r="E249" s="1" t="s">
        <v>40</v>
      </c>
      <c r="F249" s="1">
        <v>3</v>
      </c>
      <c r="G249" s="5">
        <v>157.5</v>
      </c>
      <c r="H249" s="5">
        <v>472.5</v>
      </c>
      <c r="I249" s="1" t="s">
        <v>41</v>
      </c>
      <c r="J249" s="1" t="s">
        <v>16</v>
      </c>
      <c r="K249" s="1">
        <v>4</v>
      </c>
    </row>
    <row r="250" spans="1:11" x14ac:dyDescent="0.35">
      <c r="A250" s="1" t="s">
        <v>308</v>
      </c>
      <c r="B250" s="2">
        <v>45483</v>
      </c>
      <c r="C250" s="1" t="s">
        <v>18</v>
      </c>
      <c r="D250" s="1" t="s">
        <v>13</v>
      </c>
      <c r="E250" s="1" t="s">
        <v>14</v>
      </c>
      <c r="F250" s="1">
        <v>16</v>
      </c>
      <c r="G250" s="5">
        <v>132.96</v>
      </c>
      <c r="H250" s="5">
        <v>2127.36</v>
      </c>
      <c r="I250" s="1" t="s">
        <v>56</v>
      </c>
      <c r="J250" s="1" t="s">
        <v>16</v>
      </c>
      <c r="K250" s="1">
        <v>3</v>
      </c>
    </row>
    <row r="251" spans="1:11" x14ac:dyDescent="0.35">
      <c r="A251" s="1" t="s">
        <v>309</v>
      </c>
      <c r="B251" s="2">
        <v>45505</v>
      </c>
      <c r="C251" s="1" t="s">
        <v>12</v>
      </c>
      <c r="D251" s="1" t="s">
        <v>19</v>
      </c>
      <c r="E251" s="1" t="s">
        <v>61</v>
      </c>
      <c r="F251" s="1">
        <v>13</v>
      </c>
      <c r="G251" s="5">
        <v>67.45</v>
      </c>
      <c r="H251" s="5">
        <v>876.85</v>
      </c>
      <c r="I251" s="1" t="s">
        <v>62</v>
      </c>
      <c r="J251" s="1" t="s">
        <v>16</v>
      </c>
      <c r="K251" s="1">
        <v>3</v>
      </c>
    </row>
    <row r="252" spans="1:11" x14ac:dyDescent="0.35">
      <c r="A252" s="1" t="s">
        <v>310</v>
      </c>
      <c r="B252" s="2">
        <v>45512</v>
      </c>
      <c r="C252" s="1" t="s">
        <v>18</v>
      </c>
      <c r="D252" s="1" t="s">
        <v>19</v>
      </c>
      <c r="E252" s="1" t="s">
        <v>20</v>
      </c>
      <c r="F252" s="1">
        <v>10</v>
      </c>
      <c r="G252" s="5">
        <v>88.84</v>
      </c>
      <c r="H252" s="5">
        <v>888.40000000000009</v>
      </c>
      <c r="I252" s="1" t="s">
        <v>62</v>
      </c>
      <c r="J252" s="1" t="s">
        <v>16</v>
      </c>
      <c r="K252" s="1">
        <v>3</v>
      </c>
    </row>
    <row r="253" spans="1:11" x14ac:dyDescent="0.35">
      <c r="A253" s="1" t="s">
        <v>311</v>
      </c>
      <c r="B253" s="2">
        <v>45343</v>
      </c>
      <c r="C253" s="1" t="s">
        <v>45</v>
      </c>
      <c r="D253" s="1" t="s">
        <v>13</v>
      </c>
      <c r="E253" s="1" t="s">
        <v>14</v>
      </c>
      <c r="F253" s="1">
        <v>7</v>
      </c>
      <c r="G253" s="5">
        <v>136.08000000000001</v>
      </c>
      <c r="H253" s="5">
        <v>952.56000000000006</v>
      </c>
      <c r="I253" s="1" t="s">
        <v>67</v>
      </c>
      <c r="J253" s="1" t="s">
        <v>16</v>
      </c>
      <c r="K253" s="1">
        <v>1</v>
      </c>
    </row>
    <row r="254" spans="1:11" x14ac:dyDescent="0.35">
      <c r="A254" s="1" t="s">
        <v>312</v>
      </c>
      <c r="B254" s="2">
        <v>45553</v>
      </c>
      <c r="C254" s="1" t="s">
        <v>12</v>
      </c>
      <c r="D254" s="1" t="s">
        <v>24</v>
      </c>
      <c r="E254" s="1" t="s">
        <v>93</v>
      </c>
      <c r="F254" s="1">
        <v>5</v>
      </c>
      <c r="G254" s="5">
        <v>46.21</v>
      </c>
      <c r="H254" s="5">
        <v>231.05</v>
      </c>
      <c r="I254" s="1" t="s">
        <v>37</v>
      </c>
      <c r="J254" s="1" t="s">
        <v>16</v>
      </c>
      <c r="K254" s="1">
        <v>3</v>
      </c>
    </row>
    <row r="255" spans="1:11" x14ac:dyDescent="0.35">
      <c r="A255" s="1" t="s">
        <v>313</v>
      </c>
      <c r="B255" s="2">
        <v>45452</v>
      </c>
      <c r="C255" s="1" t="s">
        <v>23</v>
      </c>
      <c r="D255" s="1" t="s">
        <v>39</v>
      </c>
      <c r="E255" s="1" t="s">
        <v>86</v>
      </c>
      <c r="F255" s="1">
        <v>16</v>
      </c>
      <c r="G255" s="5">
        <v>191.05</v>
      </c>
      <c r="H255" s="5">
        <v>3056.8</v>
      </c>
      <c r="I255" s="1" t="s">
        <v>15</v>
      </c>
      <c r="J255" s="1" t="s">
        <v>16</v>
      </c>
      <c r="K255" s="1">
        <v>2</v>
      </c>
    </row>
    <row r="256" spans="1:11" x14ac:dyDescent="0.35">
      <c r="A256" s="1" t="s">
        <v>314</v>
      </c>
      <c r="B256" s="2">
        <v>45464</v>
      </c>
      <c r="C256" s="1" t="s">
        <v>12</v>
      </c>
      <c r="D256" s="1" t="s">
        <v>13</v>
      </c>
      <c r="E256" s="1" t="s">
        <v>101</v>
      </c>
      <c r="F256" s="1">
        <v>13</v>
      </c>
      <c r="G256" s="5">
        <v>52.79</v>
      </c>
      <c r="H256" s="5">
        <v>686.27</v>
      </c>
      <c r="I256" s="1" t="s">
        <v>15</v>
      </c>
      <c r="J256" s="1" t="s">
        <v>16</v>
      </c>
      <c r="K256" s="1">
        <v>2</v>
      </c>
    </row>
    <row r="257" spans="1:11" x14ac:dyDescent="0.35">
      <c r="A257" s="1" t="s">
        <v>315</v>
      </c>
      <c r="B257" s="2">
        <v>45318</v>
      </c>
      <c r="C257" s="1" t="s">
        <v>45</v>
      </c>
      <c r="D257" s="1" t="s">
        <v>49</v>
      </c>
      <c r="E257" s="1" t="s">
        <v>50</v>
      </c>
      <c r="F257" s="1">
        <v>3</v>
      </c>
      <c r="G257" s="5">
        <v>20.399999999999999</v>
      </c>
      <c r="H257" s="5">
        <v>61.199999999999996</v>
      </c>
      <c r="I257" s="1" t="s">
        <v>90</v>
      </c>
      <c r="J257" s="1" t="s">
        <v>16</v>
      </c>
      <c r="K257" s="1">
        <v>1</v>
      </c>
    </row>
    <row r="258" spans="1:11" x14ac:dyDescent="0.35">
      <c r="A258" s="1" t="s">
        <v>316</v>
      </c>
      <c r="B258" s="2">
        <v>45526</v>
      </c>
      <c r="C258" s="1" t="s">
        <v>12</v>
      </c>
      <c r="D258" s="1" t="s">
        <v>13</v>
      </c>
      <c r="E258" s="1" t="s">
        <v>64</v>
      </c>
      <c r="F258" s="1">
        <v>16</v>
      </c>
      <c r="G258" s="5">
        <v>173.17</v>
      </c>
      <c r="H258" s="5">
        <v>2770.72</v>
      </c>
      <c r="I258" s="1" t="s">
        <v>62</v>
      </c>
      <c r="J258" s="1" t="s">
        <v>16</v>
      </c>
      <c r="K258" s="1">
        <v>3</v>
      </c>
    </row>
    <row r="259" spans="1:11" x14ac:dyDescent="0.35">
      <c r="A259" s="1" t="s">
        <v>317</v>
      </c>
      <c r="B259" s="2">
        <v>45638</v>
      </c>
      <c r="C259" s="1" t="s">
        <v>45</v>
      </c>
      <c r="D259" s="1" t="s">
        <v>13</v>
      </c>
      <c r="E259" s="1" t="s">
        <v>101</v>
      </c>
      <c r="F259" s="1">
        <v>10</v>
      </c>
      <c r="G259" s="5">
        <v>49.53</v>
      </c>
      <c r="H259" s="5">
        <v>495.3</v>
      </c>
      <c r="I259" s="1" t="s">
        <v>21</v>
      </c>
      <c r="J259" s="1" t="s">
        <v>16</v>
      </c>
      <c r="K259" s="1">
        <v>4</v>
      </c>
    </row>
    <row r="260" spans="1:11" x14ac:dyDescent="0.35">
      <c r="A260" s="1" t="s">
        <v>318</v>
      </c>
      <c r="B260" s="2">
        <v>45410</v>
      </c>
      <c r="C260" s="1" t="s">
        <v>47</v>
      </c>
      <c r="D260" s="1" t="s">
        <v>19</v>
      </c>
      <c r="E260" s="1" t="s">
        <v>61</v>
      </c>
      <c r="F260" s="1">
        <v>4</v>
      </c>
      <c r="G260" s="5">
        <v>73.239999999999995</v>
      </c>
      <c r="H260" s="5">
        <v>292.95999999999998</v>
      </c>
      <c r="I260" s="1" t="s">
        <v>54</v>
      </c>
      <c r="J260" s="1" t="s">
        <v>16</v>
      </c>
      <c r="K260" s="1">
        <v>2</v>
      </c>
    </row>
    <row r="261" spans="1:11" x14ac:dyDescent="0.35">
      <c r="A261" s="1" t="s">
        <v>319</v>
      </c>
      <c r="B261" s="2">
        <v>45339</v>
      </c>
      <c r="C261" s="1" t="s">
        <v>12</v>
      </c>
      <c r="D261" s="1" t="s">
        <v>39</v>
      </c>
      <c r="E261" s="1" t="s">
        <v>110</v>
      </c>
      <c r="F261" s="1">
        <v>18</v>
      </c>
      <c r="G261" s="5">
        <v>301.89</v>
      </c>
      <c r="H261" s="5">
        <v>5434.0199999999995</v>
      </c>
      <c r="I261" s="1" t="s">
        <v>67</v>
      </c>
      <c r="J261" s="1" t="s">
        <v>16</v>
      </c>
      <c r="K261" s="1">
        <v>1</v>
      </c>
    </row>
    <row r="262" spans="1:11" x14ac:dyDescent="0.35">
      <c r="A262" s="1" t="s">
        <v>320</v>
      </c>
      <c r="B262" s="2">
        <v>45520</v>
      </c>
      <c r="C262" s="1" t="s">
        <v>45</v>
      </c>
      <c r="D262" s="1" t="s">
        <v>13</v>
      </c>
      <c r="E262" s="1" t="s">
        <v>36</v>
      </c>
      <c r="F262" s="1">
        <v>16</v>
      </c>
      <c r="G262" s="5">
        <v>17.64</v>
      </c>
      <c r="H262" s="5">
        <v>282.24</v>
      </c>
      <c r="I262" s="1" t="s">
        <v>62</v>
      </c>
      <c r="J262" s="1" t="s">
        <v>16</v>
      </c>
      <c r="K262" s="1">
        <v>3</v>
      </c>
    </row>
    <row r="263" spans="1:11" x14ac:dyDescent="0.35">
      <c r="A263" s="1" t="s">
        <v>321</v>
      </c>
      <c r="B263" s="2">
        <v>45398</v>
      </c>
      <c r="C263" s="1" t="s">
        <v>45</v>
      </c>
      <c r="D263" s="1" t="s">
        <v>39</v>
      </c>
      <c r="E263" s="1" t="s">
        <v>110</v>
      </c>
      <c r="F263" s="1">
        <v>6</v>
      </c>
      <c r="G263" s="5">
        <v>294.81</v>
      </c>
      <c r="H263" s="5">
        <v>1768.8600000000001</v>
      </c>
      <c r="I263" s="1" t="s">
        <v>54</v>
      </c>
      <c r="J263" s="1" t="s">
        <v>16</v>
      </c>
      <c r="K263" s="1">
        <v>2</v>
      </c>
    </row>
    <row r="264" spans="1:11" x14ac:dyDescent="0.35">
      <c r="A264" s="1" t="s">
        <v>322</v>
      </c>
      <c r="B264" s="2">
        <v>45398</v>
      </c>
      <c r="C264" s="1" t="s">
        <v>18</v>
      </c>
      <c r="D264" s="1" t="s">
        <v>19</v>
      </c>
      <c r="E264" s="1" t="s">
        <v>31</v>
      </c>
      <c r="F264" s="1">
        <v>11</v>
      </c>
      <c r="G264" s="5">
        <v>585.32000000000005</v>
      </c>
      <c r="H264" s="5">
        <v>6438.52</v>
      </c>
      <c r="I264" s="1" t="s">
        <v>54</v>
      </c>
      <c r="J264" s="1" t="s">
        <v>16</v>
      </c>
      <c r="K264" s="1">
        <v>2</v>
      </c>
    </row>
    <row r="265" spans="1:11" x14ac:dyDescent="0.35">
      <c r="A265" s="1" t="s">
        <v>323</v>
      </c>
      <c r="B265" s="2">
        <v>45584</v>
      </c>
      <c r="C265" s="1" t="s">
        <v>45</v>
      </c>
      <c r="D265" s="1" t="s">
        <v>39</v>
      </c>
      <c r="E265" s="1" t="s">
        <v>58</v>
      </c>
      <c r="F265" s="1">
        <v>16</v>
      </c>
      <c r="G265" s="5">
        <v>101.5</v>
      </c>
      <c r="H265" s="5">
        <v>1624</v>
      </c>
      <c r="I265" s="1" t="s">
        <v>29</v>
      </c>
      <c r="J265" s="1" t="s">
        <v>16</v>
      </c>
      <c r="K265" s="1">
        <v>4</v>
      </c>
    </row>
    <row r="266" spans="1:11" x14ac:dyDescent="0.35">
      <c r="A266" s="1" t="s">
        <v>324</v>
      </c>
      <c r="B266" s="2">
        <v>45449</v>
      </c>
      <c r="C266" s="1" t="s">
        <v>45</v>
      </c>
      <c r="D266" s="1" t="s">
        <v>24</v>
      </c>
      <c r="E266" s="1" t="s">
        <v>34</v>
      </c>
      <c r="F266" s="1">
        <v>19</v>
      </c>
      <c r="G266" s="5">
        <v>97.19</v>
      </c>
      <c r="H266" s="5">
        <v>1846.61</v>
      </c>
      <c r="I266" s="1" t="s">
        <v>15</v>
      </c>
      <c r="J266" s="1" t="s">
        <v>16</v>
      </c>
      <c r="K266" s="1">
        <v>2</v>
      </c>
    </row>
    <row r="267" spans="1:11" x14ac:dyDescent="0.35">
      <c r="A267" s="1" t="s">
        <v>325</v>
      </c>
      <c r="B267" s="2">
        <v>45345</v>
      </c>
      <c r="C267" s="1" t="s">
        <v>45</v>
      </c>
      <c r="D267" s="1" t="s">
        <v>13</v>
      </c>
      <c r="E267" s="1" t="s">
        <v>119</v>
      </c>
      <c r="F267" s="1">
        <v>14</v>
      </c>
      <c r="G267" s="5">
        <v>254.93</v>
      </c>
      <c r="H267" s="5">
        <v>3569.02</v>
      </c>
      <c r="I267" s="1" t="s">
        <v>67</v>
      </c>
      <c r="J267" s="1" t="s">
        <v>16</v>
      </c>
      <c r="K267" s="1">
        <v>1</v>
      </c>
    </row>
    <row r="268" spans="1:11" x14ac:dyDescent="0.35">
      <c r="A268" s="1" t="s">
        <v>326</v>
      </c>
      <c r="B268" s="2">
        <v>45516</v>
      </c>
      <c r="C268" s="1" t="s">
        <v>18</v>
      </c>
      <c r="D268" s="1" t="s">
        <v>39</v>
      </c>
      <c r="E268" s="1" t="s">
        <v>58</v>
      </c>
      <c r="F268" s="1">
        <v>16</v>
      </c>
      <c r="G268" s="5">
        <v>96.87</v>
      </c>
      <c r="H268" s="5">
        <v>1549.92</v>
      </c>
      <c r="I268" s="1" t="s">
        <v>62</v>
      </c>
      <c r="J268" s="1" t="s">
        <v>16</v>
      </c>
      <c r="K268" s="1">
        <v>3</v>
      </c>
    </row>
    <row r="269" spans="1:11" x14ac:dyDescent="0.35">
      <c r="A269" s="1" t="s">
        <v>327</v>
      </c>
      <c r="B269" s="2">
        <v>45296</v>
      </c>
      <c r="C269" s="1" t="s">
        <v>18</v>
      </c>
      <c r="D269" s="1" t="s">
        <v>39</v>
      </c>
      <c r="E269" s="1" t="s">
        <v>110</v>
      </c>
      <c r="F269" s="1">
        <v>5</v>
      </c>
      <c r="G269" s="5">
        <v>295.91000000000003</v>
      </c>
      <c r="H269" s="5">
        <v>1479.5500000000002</v>
      </c>
      <c r="I269" s="1" t="s">
        <v>90</v>
      </c>
      <c r="J269" s="1" t="s">
        <v>16</v>
      </c>
      <c r="K269" s="1">
        <v>1</v>
      </c>
    </row>
    <row r="270" spans="1:11" x14ac:dyDescent="0.35">
      <c r="A270" s="1" t="s">
        <v>328</v>
      </c>
      <c r="B270" s="2">
        <v>45321</v>
      </c>
      <c r="C270" s="1" t="s">
        <v>18</v>
      </c>
      <c r="D270" s="1" t="s">
        <v>39</v>
      </c>
      <c r="E270" s="1" t="s">
        <v>58</v>
      </c>
      <c r="F270" s="1">
        <v>2</v>
      </c>
      <c r="G270" s="5">
        <v>104.95</v>
      </c>
      <c r="H270" s="5">
        <v>209.9</v>
      </c>
      <c r="I270" s="1" t="s">
        <v>90</v>
      </c>
      <c r="J270" s="1" t="s">
        <v>16</v>
      </c>
      <c r="K270" s="1">
        <v>1</v>
      </c>
    </row>
    <row r="271" spans="1:11" x14ac:dyDescent="0.35">
      <c r="A271" s="1" t="s">
        <v>329</v>
      </c>
      <c r="B271" s="2">
        <v>45458</v>
      </c>
      <c r="C271" s="1" t="s">
        <v>23</v>
      </c>
      <c r="D271" s="1" t="s">
        <v>13</v>
      </c>
      <c r="E271" s="1" t="s">
        <v>36</v>
      </c>
      <c r="F271" s="1">
        <v>6</v>
      </c>
      <c r="G271" s="5">
        <v>18.579999999999998</v>
      </c>
      <c r="H271" s="5">
        <v>111.47999999999999</v>
      </c>
      <c r="I271" s="1" t="s">
        <v>15</v>
      </c>
      <c r="J271" s="1" t="s">
        <v>16</v>
      </c>
      <c r="K271" s="1">
        <v>2</v>
      </c>
    </row>
    <row r="272" spans="1:11" x14ac:dyDescent="0.35">
      <c r="A272" s="1" t="s">
        <v>330</v>
      </c>
      <c r="B272" s="2">
        <v>45519</v>
      </c>
      <c r="C272" s="1" t="s">
        <v>47</v>
      </c>
      <c r="D272" s="1" t="s">
        <v>24</v>
      </c>
      <c r="E272" s="1" t="s">
        <v>25</v>
      </c>
      <c r="F272" s="1">
        <v>20</v>
      </c>
      <c r="G272" s="5">
        <v>242.09</v>
      </c>
      <c r="H272" s="5">
        <v>4841.8</v>
      </c>
      <c r="I272" s="1" t="s">
        <v>62</v>
      </c>
      <c r="J272" s="1" t="s">
        <v>16</v>
      </c>
      <c r="K272" s="1">
        <v>3</v>
      </c>
    </row>
    <row r="273" spans="1:11" x14ac:dyDescent="0.35">
      <c r="A273" s="1" t="s">
        <v>331</v>
      </c>
      <c r="B273" s="2">
        <v>45420</v>
      </c>
      <c r="C273" s="1" t="s">
        <v>47</v>
      </c>
      <c r="D273" s="1" t="s">
        <v>49</v>
      </c>
      <c r="E273" s="1" t="s">
        <v>52</v>
      </c>
      <c r="F273" s="1">
        <v>18</v>
      </c>
      <c r="G273" s="5">
        <v>27.25</v>
      </c>
      <c r="H273" s="5">
        <v>490.5</v>
      </c>
      <c r="I273" s="1" t="s">
        <v>59</v>
      </c>
      <c r="J273" s="1" t="s">
        <v>16</v>
      </c>
      <c r="K273" s="1">
        <v>2</v>
      </c>
    </row>
    <row r="274" spans="1:11" x14ac:dyDescent="0.35">
      <c r="A274" s="1" t="s">
        <v>332</v>
      </c>
      <c r="B274" s="2">
        <v>45332</v>
      </c>
      <c r="C274" s="1" t="s">
        <v>23</v>
      </c>
      <c r="D274" s="1" t="s">
        <v>19</v>
      </c>
      <c r="E274" s="1" t="s">
        <v>20</v>
      </c>
      <c r="F274" s="1">
        <v>9</v>
      </c>
      <c r="G274" s="5">
        <v>86.22</v>
      </c>
      <c r="H274" s="5">
        <v>775.98</v>
      </c>
      <c r="I274" s="1" t="s">
        <v>67</v>
      </c>
      <c r="J274" s="1" t="s">
        <v>16</v>
      </c>
      <c r="K274" s="1">
        <v>1</v>
      </c>
    </row>
    <row r="275" spans="1:11" x14ac:dyDescent="0.35">
      <c r="A275" s="1" t="s">
        <v>333</v>
      </c>
      <c r="B275" s="2">
        <v>45557</v>
      </c>
      <c r="C275" s="1" t="s">
        <v>45</v>
      </c>
      <c r="D275" s="1" t="s">
        <v>39</v>
      </c>
      <c r="E275" s="1" t="s">
        <v>86</v>
      </c>
      <c r="F275" s="1">
        <v>6</v>
      </c>
      <c r="G275" s="5">
        <v>198.68</v>
      </c>
      <c r="H275" s="5">
        <v>1192.08</v>
      </c>
      <c r="I275" s="1" t="s">
        <v>37</v>
      </c>
      <c r="J275" s="1" t="s">
        <v>16</v>
      </c>
      <c r="K275" s="1">
        <v>3</v>
      </c>
    </row>
    <row r="276" spans="1:11" x14ac:dyDescent="0.35">
      <c r="A276" s="1" t="s">
        <v>334</v>
      </c>
      <c r="B276" s="2">
        <v>45575</v>
      </c>
      <c r="C276" s="1" t="s">
        <v>18</v>
      </c>
      <c r="D276" s="1" t="s">
        <v>39</v>
      </c>
      <c r="E276" s="1" t="s">
        <v>40</v>
      </c>
      <c r="F276" s="1">
        <v>18</v>
      </c>
      <c r="G276" s="5">
        <v>144.44999999999999</v>
      </c>
      <c r="H276" s="5">
        <v>2600.1</v>
      </c>
      <c r="I276" s="1" t="s">
        <v>29</v>
      </c>
      <c r="J276" s="1" t="s">
        <v>16</v>
      </c>
      <c r="K276" s="1">
        <v>4</v>
      </c>
    </row>
    <row r="277" spans="1:11" x14ac:dyDescent="0.35">
      <c r="A277" s="1" t="s">
        <v>335</v>
      </c>
      <c r="B277" s="2">
        <v>45341</v>
      </c>
      <c r="C277" s="1" t="s">
        <v>18</v>
      </c>
      <c r="D277" s="1" t="s">
        <v>24</v>
      </c>
      <c r="E277" s="1" t="s">
        <v>70</v>
      </c>
      <c r="F277" s="1">
        <v>5</v>
      </c>
      <c r="G277" s="5">
        <v>1171.18</v>
      </c>
      <c r="H277" s="5">
        <v>5855.9000000000005</v>
      </c>
      <c r="I277" s="1" t="s">
        <v>67</v>
      </c>
      <c r="J277" s="1" t="s">
        <v>16</v>
      </c>
      <c r="K277" s="1">
        <v>1</v>
      </c>
    </row>
    <row r="278" spans="1:11" x14ac:dyDescent="0.35">
      <c r="A278" s="1" t="s">
        <v>336</v>
      </c>
      <c r="B278" s="2">
        <v>45376</v>
      </c>
      <c r="C278" s="1" t="s">
        <v>23</v>
      </c>
      <c r="D278" s="1" t="s">
        <v>13</v>
      </c>
      <c r="E278" s="1" t="s">
        <v>101</v>
      </c>
      <c r="F278" s="1">
        <v>10</v>
      </c>
      <c r="G278" s="5">
        <v>49.78</v>
      </c>
      <c r="H278" s="5">
        <v>497.8</v>
      </c>
      <c r="I278" s="1" t="s">
        <v>26</v>
      </c>
      <c r="J278" s="1" t="s">
        <v>16</v>
      </c>
      <c r="K278" s="1">
        <v>1</v>
      </c>
    </row>
    <row r="279" spans="1:11" x14ac:dyDescent="0.35">
      <c r="A279" s="1" t="s">
        <v>337</v>
      </c>
      <c r="B279" s="2">
        <v>45568</v>
      </c>
      <c r="C279" s="1" t="s">
        <v>23</v>
      </c>
      <c r="D279" s="1" t="s">
        <v>13</v>
      </c>
      <c r="E279" s="1" t="s">
        <v>14</v>
      </c>
      <c r="F279" s="1">
        <v>5</v>
      </c>
      <c r="G279" s="5">
        <v>152.26</v>
      </c>
      <c r="H279" s="5">
        <v>761.3</v>
      </c>
      <c r="I279" s="1" t="s">
        <v>29</v>
      </c>
      <c r="J279" s="1" t="s">
        <v>16</v>
      </c>
      <c r="K279" s="1">
        <v>4</v>
      </c>
    </row>
    <row r="280" spans="1:11" x14ac:dyDescent="0.35">
      <c r="A280" s="1" t="s">
        <v>338</v>
      </c>
      <c r="B280" s="2">
        <v>45418</v>
      </c>
      <c r="C280" s="1" t="s">
        <v>47</v>
      </c>
      <c r="D280" s="1" t="s">
        <v>24</v>
      </c>
      <c r="E280" s="1" t="s">
        <v>25</v>
      </c>
      <c r="F280" s="1">
        <v>5</v>
      </c>
      <c r="G280" s="5">
        <v>250.74</v>
      </c>
      <c r="H280" s="5">
        <v>1253.7</v>
      </c>
      <c r="I280" s="1" t="s">
        <v>59</v>
      </c>
      <c r="J280" s="1" t="s">
        <v>16</v>
      </c>
      <c r="K280" s="1">
        <v>2</v>
      </c>
    </row>
    <row r="281" spans="1:11" x14ac:dyDescent="0.35">
      <c r="A281" s="1" t="s">
        <v>339</v>
      </c>
      <c r="B281" s="2">
        <v>45321</v>
      </c>
      <c r="C281" s="1" t="s">
        <v>47</v>
      </c>
      <c r="D281" s="1" t="s">
        <v>49</v>
      </c>
      <c r="E281" s="1" t="s">
        <v>52</v>
      </c>
      <c r="F281" s="1">
        <v>17</v>
      </c>
      <c r="G281" s="5">
        <v>26.75</v>
      </c>
      <c r="H281" s="5">
        <v>454.75</v>
      </c>
      <c r="I281" s="1" t="s">
        <v>90</v>
      </c>
      <c r="J281" s="1" t="s">
        <v>16</v>
      </c>
      <c r="K281" s="1">
        <v>1</v>
      </c>
    </row>
    <row r="282" spans="1:11" x14ac:dyDescent="0.35">
      <c r="A282" s="1" t="s">
        <v>340</v>
      </c>
      <c r="B282" s="2">
        <v>45612</v>
      </c>
      <c r="C282" s="1" t="s">
        <v>47</v>
      </c>
      <c r="D282" s="1" t="s">
        <v>24</v>
      </c>
      <c r="E282" s="1" t="s">
        <v>70</v>
      </c>
      <c r="F282" s="1">
        <v>17</v>
      </c>
      <c r="G282" s="5">
        <v>1252.6500000000001</v>
      </c>
      <c r="H282" s="5">
        <v>21295.050000000003</v>
      </c>
      <c r="I282" s="1" t="s">
        <v>41</v>
      </c>
      <c r="J282" s="1" t="s">
        <v>16</v>
      </c>
      <c r="K282" s="1">
        <v>4</v>
      </c>
    </row>
    <row r="283" spans="1:11" x14ac:dyDescent="0.35">
      <c r="A283" s="1" t="s">
        <v>341</v>
      </c>
      <c r="B283" s="2">
        <v>45398</v>
      </c>
      <c r="C283" s="1" t="s">
        <v>12</v>
      </c>
      <c r="D283" s="1" t="s">
        <v>24</v>
      </c>
      <c r="E283" s="1" t="s">
        <v>93</v>
      </c>
      <c r="F283" s="1">
        <v>2</v>
      </c>
      <c r="G283" s="5">
        <v>45.19</v>
      </c>
      <c r="H283" s="5">
        <v>90.38</v>
      </c>
      <c r="I283" s="1" t="s">
        <v>54</v>
      </c>
      <c r="J283" s="1" t="s">
        <v>16</v>
      </c>
      <c r="K283" s="1">
        <v>2</v>
      </c>
    </row>
    <row r="284" spans="1:11" x14ac:dyDescent="0.35">
      <c r="A284" s="1" t="s">
        <v>342</v>
      </c>
      <c r="B284" s="2">
        <v>45350</v>
      </c>
      <c r="C284" s="1" t="s">
        <v>12</v>
      </c>
      <c r="D284" s="1" t="s">
        <v>49</v>
      </c>
      <c r="E284" s="1" t="s">
        <v>99</v>
      </c>
      <c r="F284" s="1">
        <v>9</v>
      </c>
      <c r="G284" s="5">
        <v>63.45</v>
      </c>
      <c r="H284" s="5">
        <v>571.05000000000007</v>
      </c>
      <c r="I284" s="1" t="s">
        <v>67</v>
      </c>
      <c r="J284" s="1" t="s">
        <v>16</v>
      </c>
      <c r="K284" s="1">
        <v>1</v>
      </c>
    </row>
    <row r="285" spans="1:11" x14ac:dyDescent="0.35">
      <c r="A285" s="1" t="s">
        <v>343</v>
      </c>
      <c r="B285" s="2">
        <v>45534</v>
      </c>
      <c r="C285" s="1" t="s">
        <v>45</v>
      </c>
      <c r="D285" s="1" t="s">
        <v>49</v>
      </c>
      <c r="E285" s="1" t="s">
        <v>99</v>
      </c>
      <c r="F285" s="1">
        <v>7</v>
      </c>
      <c r="G285" s="5">
        <v>56.88</v>
      </c>
      <c r="H285" s="5">
        <v>398.16</v>
      </c>
      <c r="I285" s="1" t="s">
        <v>62</v>
      </c>
      <c r="J285" s="1" t="s">
        <v>16</v>
      </c>
      <c r="K285" s="1">
        <v>3</v>
      </c>
    </row>
    <row r="286" spans="1:11" x14ac:dyDescent="0.35">
      <c r="A286" s="1" t="s">
        <v>344</v>
      </c>
      <c r="B286" s="2">
        <v>45606</v>
      </c>
      <c r="C286" s="1" t="s">
        <v>12</v>
      </c>
      <c r="D286" s="1" t="s">
        <v>24</v>
      </c>
      <c r="E286" s="1" t="s">
        <v>93</v>
      </c>
      <c r="F286" s="1">
        <v>6</v>
      </c>
      <c r="G286" s="5">
        <v>46.85</v>
      </c>
      <c r="H286" s="5">
        <v>281.10000000000002</v>
      </c>
      <c r="I286" s="1" t="s">
        <v>41</v>
      </c>
      <c r="J286" s="1" t="s">
        <v>16</v>
      </c>
      <c r="K286" s="1">
        <v>4</v>
      </c>
    </row>
    <row r="287" spans="1:11" x14ac:dyDescent="0.35">
      <c r="A287" s="1" t="s">
        <v>345</v>
      </c>
      <c r="B287" s="2">
        <v>45587</v>
      </c>
      <c r="C287" s="1" t="s">
        <v>18</v>
      </c>
      <c r="D287" s="1" t="s">
        <v>19</v>
      </c>
      <c r="E287" s="1" t="s">
        <v>61</v>
      </c>
      <c r="F287" s="1">
        <v>17</v>
      </c>
      <c r="G287" s="5">
        <v>70.959999999999994</v>
      </c>
      <c r="H287" s="5">
        <v>1206.32</v>
      </c>
      <c r="I287" s="1" t="s">
        <v>29</v>
      </c>
      <c r="J287" s="1" t="s">
        <v>16</v>
      </c>
      <c r="K287" s="1">
        <v>4</v>
      </c>
    </row>
    <row r="288" spans="1:11" x14ac:dyDescent="0.35">
      <c r="A288" s="1" t="s">
        <v>346</v>
      </c>
      <c r="B288" s="2">
        <v>45456</v>
      </c>
      <c r="C288" s="1" t="s">
        <v>23</v>
      </c>
      <c r="D288" s="1" t="s">
        <v>49</v>
      </c>
      <c r="E288" s="1" t="s">
        <v>99</v>
      </c>
      <c r="F288" s="1">
        <v>18</v>
      </c>
      <c r="G288" s="5">
        <v>61.79</v>
      </c>
      <c r="H288" s="5">
        <v>1112.22</v>
      </c>
      <c r="I288" s="1" t="s">
        <v>15</v>
      </c>
      <c r="J288" s="1" t="s">
        <v>16</v>
      </c>
      <c r="K288" s="1">
        <v>2</v>
      </c>
    </row>
    <row r="289" spans="1:11" x14ac:dyDescent="0.35">
      <c r="A289" s="1" t="s">
        <v>347</v>
      </c>
      <c r="B289" s="2">
        <v>45584</v>
      </c>
      <c r="C289" s="1" t="s">
        <v>12</v>
      </c>
      <c r="D289" s="1" t="s">
        <v>13</v>
      </c>
      <c r="E289" s="1" t="s">
        <v>36</v>
      </c>
      <c r="F289" s="1">
        <v>14</v>
      </c>
      <c r="G289" s="5">
        <v>19.28</v>
      </c>
      <c r="H289" s="5">
        <v>269.92</v>
      </c>
      <c r="I289" s="1" t="s">
        <v>29</v>
      </c>
      <c r="J289" s="1" t="s">
        <v>16</v>
      </c>
      <c r="K289" s="1">
        <v>4</v>
      </c>
    </row>
    <row r="290" spans="1:11" x14ac:dyDescent="0.35">
      <c r="A290" s="1" t="s">
        <v>348</v>
      </c>
      <c r="B290" s="2">
        <v>45609</v>
      </c>
      <c r="C290" s="1" t="s">
        <v>23</v>
      </c>
      <c r="D290" s="1" t="s">
        <v>49</v>
      </c>
      <c r="E290" s="1" t="s">
        <v>115</v>
      </c>
      <c r="F290" s="1">
        <v>9</v>
      </c>
      <c r="G290" s="5">
        <v>22.52</v>
      </c>
      <c r="H290" s="5">
        <v>202.68</v>
      </c>
      <c r="I290" s="1" t="s">
        <v>41</v>
      </c>
      <c r="J290" s="1" t="s">
        <v>16</v>
      </c>
      <c r="K290" s="1">
        <v>4</v>
      </c>
    </row>
    <row r="291" spans="1:11" x14ac:dyDescent="0.35">
      <c r="A291" s="1" t="s">
        <v>349</v>
      </c>
      <c r="B291" s="2">
        <v>45465</v>
      </c>
      <c r="C291" s="1" t="s">
        <v>18</v>
      </c>
      <c r="D291" s="1" t="s">
        <v>49</v>
      </c>
      <c r="E291" s="1" t="s">
        <v>50</v>
      </c>
      <c r="F291" s="1">
        <v>11</v>
      </c>
      <c r="G291" s="5">
        <v>20.48</v>
      </c>
      <c r="H291" s="5">
        <v>225.28</v>
      </c>
      <c r="I291" s="1" t="s">
        <v>15</v>
      </c>
      <c r="J291" s="1" t="s">
        <v>16</v>
      </c>
      <c r="K291" s="1">
        <v>2</v>
      </c>
    </row>
    <row r="292" spans="1:11" x14ac:dyDescent="0.35">
      <c r="A292" s="1" t="s">
        <v>350</v>
      </c>
      <c r="B292" s="2">
        <v>45622</v>
      </c>
      <c r="C292" s="1" t="s">
        <v>23</v>
      </c>
      <c r="D292" s="1" t="s">
        <v>49</v>
      </c>
      <c r="E292" s="1" t="s">
        <v>81</v>
      </c>
      <c r="F292" s="1">
        <v>1</v>
      </c>
      <c r="G292" s="5">
        <v>15.8</v>
      </c>
      <c r="H292" s="5">
        <v>15.8</v>
      </c>
      <c r="I292" s="1" t="s">
        <v>41</v>
      </c>
      <c r="J292" s="1" t="s">
        <v>16</v>
      </c>
      <c r="K292" s="1">
        <v>4</v>
      </c>
    </row>
    <row r="293" spans="1:11" x14ac:dyDescent="0.35">
      <c r="A293" s="1" t="s">
        <v>351</v>
      </c>
      <c r="B293" s="2">
        <v>45636</v>
      </c>
      <c r="C293" s="1" t="s">
        <v>23</v>
      </c>
      <c r="D293" s="1" t="s">
        <v>13</v>
      </c>
      <c r="E293" s="1" t="s">
        <v>101</v>
      </c>
      <c r="F293" s="1">
        <v>3</v>
      </c>
      <c r="G293" s="5">
        <v>51.49</v>
      </c>
      <c r="H293" s="5">
        <v>154.47</v>
      </c>
      <c r="I293" s="1" t="s">
        <v>21</v>
      </c>
      <c r="J293" s="1" t="s">
        <v>16</v>
      </c>
      <c r="K293" s="1">
        <v>4</v>
      </c>
    </row>
    <row r="294" spans="1:11" x14ac:dyDescent="0.35">
      <c r="A294" s="1" t="s">
        <v>352</v>
      </c>
      <c r="B294" s="2">
        <v>45466</v>
      </c>
      <c r="C294" s="1" t="s">
        <v>18</v>
      </c>
      <c r="D294" s="1" t="s">
        <v>13</v>
      </c>
      <c r="E294" s="1" t="s">
        <v>101</v>
      </c>
      <c r="F294" s="1">
        <v>13</v>
      </c>
      <c r="G294" s="5">
        <v>53.67</v>
      </c>
      <c r="H294" s="5">
        <v>697.71</v>
      </c>
      <c r="I294" s="1" t="s">
        <v>15</v>
      </c>
      <c r="J294" s="1" t="s">
        <v>16</v>
      </c>
      <c r="K294" s="1">
        <v>2</v>
      </c>
    </row>
    <row r="295" spans="1:11" x14ac:dyDescent="0.35">
      <c r="A295" s="1" t="s">
        <v>353</v>
      </c>
      <c r="B295" s="2">
        <v>45584</v>
      </c>
      <c r="C295" s="1" t="s">
        <v>12</v>
      </c>
      <c r="D295" s="1" t="s">
        <v>19</v>
      </c>
      <c r="E295" s="1" t="s">
        <v>83</v>
      </c>
      <c r="F295" s="1">
        <v>17</v>
      </c>
      <c r="G295" s="5">
        <v>437.38</v>
      </c>
      <c r="H295" s="5">
        <v>7435.46</v>
      </c>
      <c r="I295" s="1" t="s">
        <v>29</v>
      </c>
      <c r="J295" s="1" t="s">
        <v>16</v>
      </c>
      <c r="K295" s="1">
        <v>4</v>
      </c>
    </row>
    <row r="296" spans="1:11" x14ac:dyDescent="0.35">
      <c r="A296" s="1" t="s">
        <v>354</v>
      </c>
      <c r="B296" s="2">
        <v>45529</v>
      </c>
      <c r="C296" s="1" t="s">
        <v>18</v>
      </c>
      <c r="D296" s="1" t="s">
        <v>13</v>
      </c>
      <c r="E296" s="1" t="s">
        <v>101</v>
      </c>
      <c r="F296" s="1">
        <v>11</v>
      </c>
      <c r="G296" s="5">
        <v>53.53</v>
      </c>
      <c r="H296" s="5">
        <v>588.83000000000004</v>
      </c>
      <c r="I296" s="1" t="s">
        <v>62</v>
      </c>
      <c r="J296" s="1" t="s">
        <v>16</v>
      </c>
      <c r="K296" s="1">
        <v>3</v>
      </c>
    </row>
    <row r="297" spans="1:11" x14ac:dyDescent="0.35">
      <c r="A297" s="1" t="s">
        <v>355</v>
      </c>
      <c r="B297" s="2">
        <v>45501</v>
      </c>
      <c r="C297" s="1" t="s">
        <v>12</v>
      </c>
      <c r="D297" s="1" t="s">
        <v>19</v>
      </c>
      <c r="E297" s="1" t="s">
        <v>61</v>
      </c>
      <c r="F297" s="1">
        <v>8</v>
      </c>
      <c r="G297" s="5">
        <v>68.17</v>
      </c>
      <c r="H297" s="5">
        <v>545.36</v>
      </c>
      <c r="I297" s="1" t="s">
        <v>56</v>
      </c>
      <c r="J297" s="1" t="s">
        <v>16</v>
      </c>
      <c r="K297" s="1">
        <v>3</v>
      </c>
    </row>
    <row r="298" spans="1:11" x14ac:dyDescent="0.35">
      <c r="A298" s="1" t="s">
        <v>356</v>
      </c>
      <c r="B298" s="2">
        <v>45493</v>
      </c>
      <c r="C298" s="1" t="s">
        <v>18</v>
      </c>
      <c r="D298" s="1" t="s">
        <v>39</v>
      </c>
      <c r="E298" s="1" t="s">
        <v>58</v>
      </c>
      <c r="F298" s="1">
        <v>11</v>
      </c>
      <c r="G298" s="5">
        <v>101.58</v>
      </c>
      <c r="H298" s="5">
        <v>1117.3799999999999</v>
      </c>
      <c r="I298" s="1" t="s">
        <v>56</v>
      </c>
      <c r="J298" s="1" t="s">
        <v>16</v>
      </c>
      <c r="K298" s="1">
        <v>3</v>
      </c>
    </row>
    <row r="299" spans="1:11" x14ac:dyDescent="0.35">
      <c r="A299" s="1" t="s">
        <v>357</v>
      </c>
      <c r="B299" s="2">
        <v>45477</v>
      </c>
      <c r="C299" s="1" t="s">
        <v>18</v>
      </c>
      <c r="D299" s="1" t="s">
        <v>13</v>
      </c>
      <c r="E299" s="1" t="s">
        <v>64</v>
      </c>
      <c r="F299" s="1">
        <v>15</v>
      </c>
      <c r="G299" s="5">
        <v>183.58</v>
      </c>
      <c r="H299" s="5">
        <v>2753.7000000000003</v>
      </c>
      <c r="I299" s="1" t="s">
        <v>56</v>
      </c>
      <c r="J299" s="1" t="s">
        <v>16</v>
      </c>
      <c r="K299" s="1">
        <v>3</v>
      </c>
    </row>
    <row r="300" spans="1:11" x14ac:dyDescent="0.35">
      <c r="A300" s="1" t="s">
        <v>358</v>
      </c>
      <c r="B300" s="2">
        <v>45540</v>
      </c>
      <c r="C300" s="1" t="s">
        <v>45</v>
      </c>
      <c r="D300" s="1" t="s">
        <v>19</v>
      </c>
      <c r="E300" s="1" t="s">
        <v>31</v>
      </c>
      <c r="F300" s="1">
        <v>5</v>
      </c>
      <c r="G300" s="5">
        <v>527.9</v>
      </c>
      <c r="H300" s="5">
        <v>2639.5</v>
      </c>
      <c r="I300" s="1" t="s">
        <v>37</v>
      </c>
      <c r="J300" s="1" t="s">
        <v>16</v>
      </c>
      <c r="K300" s="1">
        <v>3</v>
      </c>
    </row>
    <row r="301" spans="1:11" x14ac:dyDescent="0.35">
      <c r="A301" s="1" t="s">
        <v>359</v>
      </c>
      <c r="B301" s="2">
        <v>45614</v>
      </c>
      <c r="C301" s="1" t="s">
        <v>47</v>
      </c>
      <c r="D301" s="1" t="s">
        <v>49</v>
      </c>
      <c r="E301" s="1" t="s">
        <v>52</v>
      </c>
      <c r="F301" s="1">
        <v>9</v>
      </c>
      <c r="G301" s="5">
        <v>25.1</v>
      </c>
      <c r="H301" s="5">
        <v>225.9</v>
      </c>
      <c r="I301" s="1" t="s">
        <v>41</v>
      </c>
      <c r="J301" s="1" t="s">
        <v>16</v>
      </c>
      <c r="K301" s="1">
        <v>4</v>
      </c>
    </row>
    <row r="302" spans="1:11" x14ac:dyDescent="0.35">
      <c r="A302" s="1" t="s">
        <v>360</v>
      </c>
      <c r="B302" s="2">
        <v>45506</v>
      </c>
      <c r="C302" s="1" t="s">
        <v>18</v>
      </c>
      <c r="D302" s="1" t="s">
        <v>13</v>
      </c>
      <c r="E302" s="1" t="s">
        <v>101</v>
      </c>
      <c r="F302" s="1">
        <v>8</v>
      </c>
      <c r="G302" s="5">
        <v>50.14</v>
      </c>
      <c r="H302" s="5">
        <v>401.12</v>
      </c>
      <c r="I302" s="1" t="s">
        <v>62</v>
      </c>
      <c r="J302" s="1" t="s">
        <v>16</v>
      </c>
      <c r="K302" s="1">
        <v>3</v>
      </c>
    </row>
    <row r="303" spans="1:11" x14ac:dyDescent="0.35">
      <c r="A303" s="1" t="s">
        <v>361</v>
      </c>
      <c r="B303" s="2">
        <v>45446</v>
      </c>
      <c r="C303" s="1" t="s">
        <v>12</v>
      </c>
      <c r="D303" s="1" t="s">
        <v>19</v>
      </c>
      <c r="E303" s="1" t="s">
        <v>28</v>
      </c>
      <c r="F303" s="1">
        <v>10</v>
      </c>
      <c r="G303" s="5">
        <v>29.52</v>
      </c>
      <c r="H303" s="5">
        <v>295.2</v>
      </c>
      <c r="I303" s="1" t="s">
        <v>15</v>
      </c>
      <c r="J303" s="1" t="s">
        <v>16</v>
      </c>
      <c r="K303" s="1">
        <v>2</v>
      </c>
    </row>
    <row r="304" spans="1:11" x14ac:dyDescent="0.35">
      <c r="A304" s="1" t="s">
        <v>362</v>
      </c>
      <c r="B304" s="2">
        <v>45483</v>
      </c>
      <c r="C304" s="1" t="s">
        <v>45</v>
      </c>
      <c r="D304" s="1" t="s">
        <v>49</v>
      </c>
      <c r="E304" s="1" t="s">
        <v>115</v>
      </c>
      <c r="F304" s="1">
        <v>14</v>
      </c>
      <c r="G304" s="5">
        <v>22.2</v>
      </c>
      <c r="H304" s="5">
        <v>310.8</v>
      </c>
      <c r="I304" s="1" t="s">
        <v>56</v>
      </c>
      <c r="J304" s="1" t="s">
        <v>16</v>
      </c>
      <c r="K304" s="1">
        <v>3</v>
      </c>
    </row>
    <row r="305" spans="1:11" x14ac:dyDescent="0.35">
      <c r="A305" s="1" t="s">
        <v>363</v>
      </c>
      <c r="B305" s="2">
        <v>45645</v>
      </c>
      <c r="C305" s="1" t="s">
        <v>45</v>
      </c>
      <c r="D305" s="1" t="s">
        <v>49</v>
      </c>
      <c r="E305" s="1" t="s">
        <v>115</v>
      </c>
      <c r="F305" s="1">
        <v>20</v>
      </c>
      <c r="G305" s="5">
        <v>23.94</v>
      </c>
      <c r="H305" s="5">
        <v>478.8</v>
      </c>
      <c r="I305" s="1" t="s">
        <v>21</v>
      </c>
      <c r="J305" s="1" t="s">
        <v>16</v>
      </c>
      <c r="K305" s="1">
        <v>4</v>
      </c>
    </row>
    <row r="306" spans="1:11" x14ac:dyDescent="0.35">
      <c r="A306" s="1" t="s">
        <v>364</v>
      </c>
      <c r="B306" s="2">
        <v>45296</v>
      </c>
      <c r="C306" s="1" t="s">
        <v>47</v>
      </c>
      <c r="D306" s="1" t="s">
        <v>24</v>
      </c>
      <c r="E306" s="1" t="s">
        <v>73</v>
      </c>
      <c r="F306" s="1">
        <v>5</v>
      </c>
      <c r="G306" s="5">
        <v>133.11000000000001</v>
      </c>
      <c r="H306" s="5">
        <v>665.55000000000007</v>
      </c>
      <c r="I306" s="1" t="s">
        <v>90</v>
      </c>
      <c r="J306" s="1" t="s">
        <v>16</v>
      </c>
      <c r="K306" s="1">
        <v>1</v>
      </c>
    </row>
    <row r="307" spans="1:11" x14ac:dyDescent="0.35">
      <c r="A307" s="1" t="s">
        <v>365</v>
      </c>
      <c r="B307" s="2">
        <v>45527</v>
      </c>
      <c r="C307" s="1" t="s">
        <v>18</v>
      </c>
      <c r="D307" s="1" t="s">
        <v>24</v>
      </c>
      <c r="E307" s="1" t="s">
        <v>93</v>
      </c>
      <c r="F307" s="1">
        <v>3</v>
      </c>
      <c r="G307" s="5">
        <v>46.48</v>
      </c>
      <c r="H307" s="5">
        <v>139.44</v>
      </c>
      <c r="I307" s="1" t="s">
        <v>62</v>
      </c>
      <c r="J307" s="1" t="s">
        <v>16</v>
      </c>
      <c r="K307" s="1">
        <v>3</v>
      </c>
    </row>
    <row r="308" spans="1:11" x14ac:dyDescent="0.35">
      <c r="A308" s="1" t="s">
        <v>366</v>
      </c>
      <c r="B308" s="2">
        <v>45367</v>
      </c>
      <c r="C308" s="1" t="s">
        <v>18</v>
      </c>
      <c r="D308" s="1" t="s">
        <v>13</v>
      </c>
      <c r="E308" s="1" t="s">
        <v>101</v>
      </c>
      <c r="F308" s="1">
        <v>4</v>
      </c>
      <c r="G308" s="5">
        <v>53.35</v>
      </c>
      <c r="H308" s="5">
        <v>213.4</v>
      </c>
      <c r="I308" s="1" t="s">
        <v>26</v>
      </c>
      <c r="J308" s="1" t="s">
        <v>16</v>
      </c>
      <c r="K308" s="1">
        <v>1</v>
      </c>
    </row>
    <row r="309" spans="1:11" x14ac:dyDescent="0.35">
      <c r="A309" s="1" t="s">
        <v>367</v>
      </c>
      <c r="B309" s="2">
        <v>45622</v>
      </c>
      <c r="C309" s="1" t="s">
        <v>45</v>
      </c>
      <c r="D309" s="1" t="s">
        <v>19</v>
      </c>
      <c r="E309" s="1" t="s">
        <v>83</v>
      </c>
      <c r="F309" s="1">
        <v>5</v>
      </c>
      <c r="G309" s="5">
        <v>394.37</v>
      </c>
      <c r="H309" s="5">
        <v>1971.85</v>
      </c>
      <c r="I309" s="1" t="s">
        <v>41</v>
      </c>
      <c r="J309" s="1" t="s">
        <v>16</v>
      </c>
      <c r="K309" s="1">
        <v>4</v>
      </c>
    </row>
    <row r="310" spans="1:11" x14ac:dyDescent="0.35">
      <c r="A310" s="1" t="s">
        <v>368</v>
      </c>
      <c r="B310" s="2">
        <v>45346</v>
      </c>
      <c r="C310" s="1" t="s">
        <v>45</v>
      </c>
      <c r="D310" s="1" t="s">
        <v>49</v>
      </c>
      <c r="E310" s="1" t="s">
        <v>99</v>
      </c>
      <c r="F310" s="1">
        <v>11</v>
      </c>
      <c r="G310" s="5">
        <v>59.65</v>
      </c>
      <c r="H310" s="5">
        <v>656.15</v>
      </c>
      <c r="I310" s="1" t="s">
        <v>67</v>
      </c>
      <c r="J310" s="1" t="s">
        <v>16</v>
      </c>
      <c r="K310" s="1">
        <v>1</v>
      </c>
    </row>
    <row r="311" spans="1:11" x14ac:dyDescent="0.35">
      <c r="A311" s="1" t="s">
        <v>369</v>
      </c>
      <c r="B311" s="2">
        <v>45583</v>
      </c>
      <c r="C311" s="1" t="s">
        <v>47</v>
      </c>
      <c r="D311" s="1" t="s">
        <v>19</v>
      </c>
      <c r="E311" s="1" t="s">
        <v>31</v>
      </c>
      <c r="F311" s="1">
        <v>7</v>
      </c>
      <c r="G311" s="5">
        <v>590.48</v>
      </c>
      <c r="H311" s="5">
        <v>4133.3600000000006</v>
      </c>
      <c r="I311" s="1" t="s">
        <v>29</v>
      </c>
      <c r="J311" s="1" t="s">
        <v>16</v>
      </c>
      <c r="K311" s="1">
        <v>4</v>
      </c>
    </row>
    <row r="312" spans="1:11" x14ac:dyDescent="0.35">
      <c r="A312" s="1" t="s">
        <v>370</v>
      </c>
      <c r="B312" s="2">
        <v>45482</v>
      </c>
      <c r="C312" s="1" t="s">
        <v>23</v>
      </c>
      <c r="D312" s="1" t="s">
        <v>49</v>
      </c>
      <c r="E312" s="1" t="s">
        <v>99</v>
      </c>
      <c r="F312" s="1">
        <v>11</v>
      </c>
      <c r="G312" s="5">
        <v>62.06</v>
      </c>
      <c r="H312" s="5">
        <v>682.66000000000008</v>
      </c>
      <c r="I312" s="1" t="s">
        <v>56</v>
      </c>
      <c r="J312" s="1" t="s">
        <v>16</v>
      </c>
      <c r="K312" s="1">
        <v>3</v>
      </c>
    </row>
    <row r="313" spans="1:11" x14ac:dyDescent="0.35">
      <c r="A313" s="1" t="s">
        <v>371</v>
      </c>
      <c r="B313" s="2">
        <v>45417</v>
      </c>
      <c r="C313" s="1" t="s">
        <v>23</v>
      </c>
      <c r="D313" s="1" t="s">
        <v>39</v>
      </c>
      <c r="E313" s="1" t="s">
        <v>86</v>
      </c>
      <c r="F313" s="1">
        <v>15</v>
      </c>
      <c r="G313" s="5">
        <v>213.94</v>
      </c>
      <c r="H313" s="5">
        <v>3209.1</v>
      </c>
      <c r="I313" s="1" t="s">
        <v>59</v>
      </c>
      <c r="J313" s="1" t="s">
        <v>16</v>
      </c>
      <c r="K313" s="1">
        <v>2</v>
      </c>
    </row>
    <row r="314" spans="1:11" x14ac:dyDescent="0.35">
      <c r="A314" s="1" t="s">
        <v>372</v>
      </c>
      <c r="B314" s="2">
        <v>45649</v>
      </c>
      <c r="C314" s="1" t="s">
        <v>12</v>
      </c>
      <c r="D314" s="1" t="s">
        <v>24</v>
      </c>
      <c r="E314" s="1" t="s">
        <v>70</v>
      </c>
      <c r="F314" s="1">
        <v>20</v>
      </c>
      <c r="G314" s="5">
        <v>1282.81</v>
      </c>
      <c r="H314" s="5">
        <v>25656.199999999997</v>
      </c>
      <c r="I314" s="1" t="s">
        <v>21</v>
      </c>
      <c r="J314" s="1" t="s">
        <v>16</v>
      </c>
      <c r="K314" s="1">
        <v>4</v>
      </c>
    </row>
    <row r="315" spans="1:11" x14ac:dyDescent="0.35">
      <c r="A315" s="1" t="s">
        <v>373</v>
      </c>
      <c r="B315" s="2">
        <v>45582</v>
      </c>
      <c r="C315" s="1" t="s">
        <v>18</v>
      </c>
      <c r="D315" s="1" t="s">
        <v>24</v>
      </c>
      <c r="E315" s="1" t="s">
        <v>70</v>
      </c>
      <c r="F315" s="1">
        <v>5</v>
      </c>
      <c r="G315" s="5">
        <v>1167.3599999999999</v>
      </c>
      <c r="H315" s="5">
        <v>5836.7999999999993</v>
      </c>
      <c r="I315" s="1" t="s">
        <v>29</v>
      </c>
      <c r="J315" s="1" t="s">
        <v>16</v>
      </c>
      <c r="K315" s="1">
        <v>4</v>
      </c>
    </row>
    <row r="316" spans="1:11" x14ac:dyDescent="0.35">
      <c r="A316" s="1" t="s">
        <v>374</v>
      </c>
      <c r="B316" s="2">
        <v>45382</v>
      </c>
      <c r="C316" s="1" t="s">
        <v>12</v>
      </c>
      <c r="D316" s="1" t="s">
        <v>13</v>
      </c>
      <c r="E316" s="1" t="s">
        <v>101</v>
      </c>
      <c r="F316" s="1">
        <v>12</v>
      </c>
      <c r="G316" s="5">
        <v>49.08</v>
      </c>
      <c r="H316" s="5">
        <v>588.96</v>
      </c>
      <c r="I316" s="1" t="s">
        <v>26</v>
      </c>
      <c r="J316" s="1" t="s">
        <v>16</v>
      </c>
      <c r="K316" s="1">
        <v>1</v>
      </c>
    </row>
    <row r="317" spans="1:11" x14ac:dyDescent="0.35">
      <c r="A317" s="1" t="s">
        <v>375</v>
      </c>
      <c r="B317" s="2">
        <v>45567</v>
      </c>
      <c r="C317" s="1" t="s">
        <v>12</v>
      </c>
      <c r="D317" s="1" t="s">
        <v>19</v>
      </c>
      <c r="E317" s="1" t="s">
        <v>20</v>
      </c>
      <c r="F317" s="1">
        <v>16</v>
      </c>
      <c r="G317" s="5">
        <v>94.77</v>
      </c>
      <c r="H317" s="5">
        <v>1516.32</v>
      </c>
      <c r="I317" s="1" t="s">
        <v>29</v>
      </c>
      <c r="J317" s="1" t="s">
        <v>16</v>
      </c>
      <c r="K317" s="1">
        <v>4</v>
      </c>
    </row>
    <row r="318" spans="1:11" x14ac:dyDescent="0.35">
      <c r="A318" s="1" t="s">
        <v>376</v>
      </c>
      <c r="B318" s="2">
        <v>45493</v>
      </c>
      <c r="C318" s="1" t="s">
        <v>23</v>
      </c>
      <c r="D318" s="1" t="s">
        <v>39</v>
      </c>
      <c r="E318" s="1" t="s">
        <v>58</v>
      </c>
      <c r="F318" s="1">
        <v>12</v>
      </c>
      <c r="G318" s="5">
        <v>105.26</v>
      </c>
      <c r="H318" s="5">
        <v>1263.1200000000001</v>
      </c>
      <c r="I318" s="1" t="s">
        <v>56</v>
      </c>
      <c r="J318" s="1" t="s">
        <v>16</v>
      </c>
      <c r="K318" s="1">
        <v>3</v>
      </c>
    </row>
    <row r="319" spans="1:11" x14ac:dyDescent="0.35">
      <c r="A319" s="1" t="s">
        <v>377</v>
      </c>
      <c r="B319" s="2">
        <v>45627</v>
      </c>
      <c r="C319" s="1" t="s">
        <v>12</v>
      </c>
      <c r="D319" s="1" t="s">
        <v>49</v>
      </c>
      <c r="E319" s="1" t="s">
        <v>99</v>
      </c>
      <c r="F319" s="1">
        <v>5</v>
      </c>
      <c r="G319" s="5">
        <v>58.39</v>
      </c>
      <c r="H319" s="5">
        <v>291.95</v>
      </c>
      <c r="I319" s="1" t="s">
        <v>21</v>
      </c>
      <c r="J319" s="1" t="s">
        <v>16</v>
      </c>
      <c r="K319" s="1">
        <v>4</v>
      </c>
    </row>
    <row r="320" spans="1:11" x14ac:dyDescent="0.35">
      <c r="A320" s="1" t="s">
        <v>378</v>
      </c>
      <c r="B320" s="2">
        <v>45654</v>
      </c>
      <c r="C320" s="1" t="s">
        <v>18</v>
      </c>
      <c r="D320" s="1" t="s">
        <v>19</v>
      </c>
      <c r="E320" s="1" t="s">
        <v>61</v>
      </c>
      <c r="F320" s="1">
        <v>2</v>
      </c>
      <c r="G320" s="5">
        <v>75.63</v>
      </c>
      <c r="H320" s="5">
        <v>151.26</v>
      </c>
      <c r="I320" s="1" t="s">
        <v>21</v>
      </c>
      <c r="J320" s="1" t="s">
        <v>16</v>
      </c>
      <c r="K320" s="1">
        <v>4</v>
      </c>
    </row>
    <row r="321" spans="1:11" x14ac:dyDescent="0.35">
      <c r="A321" s="1" t="s">
        <v>379</v>
      </c>
      <c r="B321" s="2">
        <v>45338</v>
      </c>
      <c r="C321" s="1" t="s">
        <v>45</v>
      </c>
      <c r="D321" s="1" t="s">
        <v>39</v>
      </c>
      <c r="E321" s="1" t="s">
        <v>40</v>
      </c>
      <c r="F321" s="1">
        <v>17</v>
      </c>
      <c r="G321" s="5">
        <v>142.63999999999999</v>
      </c>
      <c r="H321" s="5">
        <v>2424.8799999999997</v>
      </c>
      <c r="I321" s="1" t="s">
        <v>67</v>
      </c>
      <c r="J321" s="1" t="s">
        <v>16</v>
      </c>
      <c r="K321" s="1">
        <v>1</v>
      </c>
    </row>
    <row r="322" spans="1:11" x14ac:dyDescent="0.35">
      <c r="A322" s="1" t="s">
        <v>380</v>
      </c>
      <c r="B322" s="2">
        <v>45547</v>
      </c>
      <c r="C322" s="1" t="s">
        <v>12</v>
      </c>
      <c r="D322" s="1" t="s">
        <v>19</v>
      </c>
      <c r="E322" s="1" t="s">
        <v>28</v>
      </c>
      <c r="F322" s="1">
        <v>12</v>
      </c>
      <c r="G322" s="5">
        <v>29.14</v>
      </c>
      <c r="H322" s="5">
        <v>349.68</v>
      </c>
      <c r="I322" s="1" t="s">
        <v>37</v>
      </c>
      <c r="J322" s="1" t="s">
        <v>16</v>
      </c>
      <c r="K322" s="1">
        <v>3</v>
      </c>
    </row>
    <row r="323" spans="1:11" x14ac:dyDescent="0.35">
      <c r="A323" s="1" t="s">
        <v>381</v>
      </c>
      <c r="B323" s="2">
        <v>45595</v>
      </c>
      <c r="C323" s="1" t="s">
        <v>12</v>
      </c>
      <c r="D323" s="1" t="s">
        <v>13</v>
      </c>
      <c r="E323" s="1" t="s">
        <v>36</v>
      </c>
      <c r="F323" s="1">
        <v>2</v>
      </c>
      <c r="G323" s="5">
        <v>17.7</v>
      </c>
      <c r="H323" s="5">
        <v>35.4</v>
      </c>
      <c r="I323" s="1" t="s">
        <v>29</v>
      </c>
      <c r="J323" s="1" t="s">
        <v>16</v>
      </c>
      <c r="K323" s="1">
        <v>4</v>
      </c>
    </row>
    <row r="324" spans="1:11" x14ac:dyDescent="0.35">
      <c r="A324" s="1" t="s">
        <v>382</v>
      </c>
      <c r="B324" s="2">
        <v>45655</v>
      </c>
      <c r="C324" s="1" t="s">
        <v>47</v>
      </c>
      <c r="D324" s="1" t="s">
        <v>24</v>
      </c>
      <c r="E324" s="1" t="s">
        <v>25</v>
      </c>
      <c r="F324" s="1">
        <v>4</v>
      </c>
      <c r="G324" s="5">
        <v>261.83999999999997</v>
      </c>
      <c r="H324" s="5">
        <v>1047.3599999999999</v>
      </c>
      <c r="I324" s="1" t="s">
        <v>21</v>
      </c>
      <c r="J324" s="1" t="s">
        <v>16</v>
      </c>
      <c r="K324" s="1">
        <v>4</v>
      </c>
    </row>
    <row r="325" spans="1:11" x14ac:dyDescent="0.35">
      <c r="A325" s="1" t="s">
        <v>383</v>
      </c>
      <c r="B325" s="2">
        <v>45308</v>
      </c>
      <c r="C325" s="1" t="s">
        <v>12</v>
      </c>
      <c r="D325" s="1" t="s">
        <v>39</v>
      </c>
      <c r="E325" s="1" t="s">
        <v>76</v>
      </c>
      <c r="F325" s="1">
        <v>3</v>
      </c>
      <c r="G325" s="5">
        <v>59.94</v>
      </c>
      <c r="H325" s="5">
        <v>179.82</v>
      </c>
      <c r="I325" s="1" t="s">
        <v>90</v>
      </c>
      <c r="J325" s="1" t="s">
        <v>16</v>
      </c>
      <c r="K325" s="1">
        <v>1</v>
      </c>
    </row>
    <row r="326" spans="1:11" x14ac:dyDescent="0.35">
      <c r="A326" s="1" t="s">
        <v>384</v>
      </c>
      <c r="B326" s="2">
        <v>45629</v>
      </c>
      <c r="C326" s="1" t="s">
        <v>45</v>
      </c>
      <c r="D326" s="1" t="s">
        <v>24</v>
      </c>
      <c r="E326" s="1" t="s">
        <v>73</v>
      </c>
      <c r="F326" s="1">
        <v>2</v>
      </c>
      <c r="G326" s="5">
        <v>128.53</v>
      </c>
      <c r="H326" s="5">
        <v>257.06</v>
      </c>
      <c r="I326" s="1" t="s">
        <v>21</v>
      </c>
      <c r="J326" s="1" t="s">
        <v>16</v>
      </c>
      <c r="K326" s="1">
        <v>4</v>
      </c>
    </row>
    <row r="327" spans="1:11" x14ac:dyDescent="0.35">
      <c r="A327" s="1" t="s">
        <v>385</v>
      </c>
      <c r="B327" s="2">
        <v>45636</v>
      </c>
      <c r="C327" s="1" t="s">
        <v>23</v>
      </c>
      <c r="D327" s="1" t="s">
        <v>13</v>
      </c>
      <c r="E327" s="1" t="s">
        <v>14</v>
      </c>
      <c r="F327" s="1">
        <v>12</v>
      </c>
      <c r="G327" s="5">
        <v>134.31</v>
      </c>
      <c r="H327" s="5">
        <v>1611.72</v>
      </c>
      <c r="I327" s="1" t="s">
        <v>21</v>
      </c>
      <c r="J327" s="1" t="s">
        <v>16</v>
      </c>
      <c r="K327" s="1">
        <v>4</v>
      </c>
    </row>
    <row r="328" spans="1:11" x14ac:dyDescent="0.35">
      <c r="A328" s="1" t="s">
        <v>386</v>
      </c>
      <c r="B328" s="2">
        <v>45296</v>
      </c>
      <c r="C328" s="1" t="s">
        <v>12</v>
      </c>
      <c r="D328" s="1" t="s">
        <v>19</v>
      </c>
      <c r="E328" s="1" t="s">
        <v>31</v>
      </c>
      <c r="F328" s="1">
        <v>13</v>
      </c>
      <c r="G328" s="5">
        <v>600.91999999999996</v>
      </c>
      <c r="H328" s="5">
        <v>7811.9599999999991</v>
      </c>
      <c r="I328" s="1" t="s">
        <v>90</v>
      </c>
      <c r="J328" s="1" t="s">
        <v>16</v>
      </c>
      <c r="K328" s="1">
        <v>1</v>
      </c>
    </row>
    <row r="329" spans="1:11" x14ac:dyDescent="0.35">
      <c r="A329" s="1" t="s">
        <v>387</v>
      </c>
      <c r="B329" s="2">
        <v>45510</v>
      </c>
      <c r="C329" s="1" t="s">
        <v>45</v>
      </c>
      <c r="D329" s="1" t="s">
        <v>49</v>
      </c>
      <c r="E329" s="1" t="s">
        <v>52</v>
      </c>
      <c r="F329" s="1">
        <v>15</v>
      </c>
      <c r="G329" s="5">
        <v>23.91</v>
      </c>
      <c r="H329" s="5">
        <v>358.65</v>
      </c>
      <c r="I329" s="1" t="s">
        <v>62</v>
      </c>
      <c r="J329" s="1" t="s">
        <v>16</v>
      </c>
      <c r="K329" s="1">
        <v>3</v>
      </c>
    </row>
    <row r="330" spans="1:11" x14ac:dyDescent="0.35">
      <c r="A330" s="1" t="s">
        <v>388</v>
      </c>
      <c r="B330" s="2">
        <v>45640</v>
      </c>
      <c r="C330" s="1" t="s">
        <v>12</v>
      </c>
      <c r="D330" s="1" t="s">
        <v>13</v>
      </c>
      <c r="E330" s="1" t="s">
        <v>64</v>
      </c>
      <c r="F330" s="1">
        <v>13</v>
      </c>
      <c r="G330" s="5">
        <v>180.3</v>
      </c>
      <c r="H330" s="5">
        <v>2343.9</v>
      </c>
      <c r="I330" s="1" t="s">
        <v>21</v>
      </c>
      <c r="J330" s="1" t="s">
        <v>16</v>
      </c>
      <c r="K330" s="1">
        <v>4</v>
      </c>
    </row>
    <row r="331" spans="1:11" x14ac:dyDescent="0.35">
      <c r="A331" s="1" t="s">
        <v>389</v>
      </c>
      <c r="B331" s="2">
        <v>45438</v>
      </c>
      <c r="C331" s="1" t="s">
        <v>47</v>
      </c>
      <c r="D331" s="1" t="s">
        <v>13</v>
      </c>
      <c r="E331" s="1" t="s">
        <v>14</v>
      </c>
      <c r="F331" s="1">
        <v>6</v>
      </c>
      <c r="G331" s="5">
        <v>134.28</v>
      </c>
      <c r="H331" s="5">
        <v>805.68000000000006</v>
      </c>
      <c r="I331" s="1" t="s">
        <v>59</v>
      </c>
      <c r="J331" s="1" t="s">
        <v>16</v>
      </c>
      <c r="K331" s="1">
        <v>2</v>
      </c>
    </row>
    <row r="332" spans="1:11" x14ac:dyDescent="0.35">
      <c r="A332" s="1" t="s">
        <v>390</v>
      </c>
      <c r="B332" s="2">
        <v>45365</v>
      </c>
      <c r="C332" s="1" t="s">
        <v>12</v>
      </c>
      <c r="D332" s="1" t="s">
        <v>24</v>
      </c>
      <c r="E332" s="1" t="s">
        <v>43</v>
      </c>
      <c r="F332" s="1">
        <v>14</v>
      </c>
      <c r="G332" s="5">
        <v>86.52</v>
      </c>
      <c r="H332" s="5">
        <v>1211.28</v>
      </c>
      <c r="I332" s="1" t="s">
        <v>26</v>
      </c>
      <c r="J332" s="1" t="s">
        <v>16</v>
      </c>
      <c r="K332" s="1">
        <v>1</v>
      </c>
    </row>
    <row r="333" spans="1:11" x14ac:dyDescent="0.35">
      <c r="A333" s="1" t="s">
        <v>391</v>
      </c>
      <c r="B333" s="2">
        <v>45654</v>
      </c>
      <c r="C333" s="1" t="s">
        <v>18</v>
      </c>
      <c r="D333" s="1" t="s">
        <v>19</v>
      </c>
      <c r="E333" s="1" t="s">
        <v>61</v>
      </c>
      <c r="F333" s="1">
        <v>8</v>
      </c>
      <c r="G333" s="5">
        <v>72.650000000000006</v>
      </c>
      <c r="H333" s="5">
        <v>581.20000000000005</v>
      </c>
      <c r="I333" s="1" t="s">
        <v>21</v>
      </c>
      <c r="J333" s="1" t="s">
        <v>16</v>
      </c>
      <c r="K333" s="1">
        <v>4</v>
      </c>
    </row>
    <row r="334" spans="1:11" x14ac:dyDescent="0.35">
      <c r="A334" s="1" t="s">
        <v>392</v>
      </c>
      <c r="B334" s="2">
        <v>45499</v>
      </c>
      <c r="C334" s="1" t="s">
        <v>45</v>
      </c>
      <c r="D334" s="1" t="s">
        <v>49</v>
      </c>
      <c r="E334" s="1" t="s">
        <v>81</v>
      </c>
      <c r="F334" s="1">
        <v>20</v>
      </c>
      <c r="G334" s="5">
        <v>15.45</v>
      </c>
      <c r="H334" s="5">
        <v>309</v>
      </c>
      <c r="I334" s="1" t="s">
        <v>56</v>
      </c>
      <c r="J334" s="1" t="s">
        <v>16</v>
      </c>
      <c r="K334" s="1">
        <v>3</v>
      </c>
    </row>
    <row r="335" spans="1:11" x14ac:dyDescent="0.35">
      <c r="A335" s="1" t="s">
        <v>393</v>
      </c>
      <c r="B335" s="2">
        <v>45336</v>
      </c>
      <c r="C335" s="1" t="s">
        <v>23</v>
      </c>
      <c r="D335" s="1" t="s">
        <v>39</v>
      </c>
      <c r="E335" s="1" t="s">
        <v>110</v>
      </c>
      <c r="F335" s="1">
        <v>18</v>
      </c>
      <c r="G335" s="5">
        <v>308.37</v>
      </c>
      <c r="H335" s="5">
        <v>5550.66</v>
      </c>
      <c r="I335" s="1" t="s">
        <v>67</v>
      </c>
      <c r="J335" s="1" t="s">
        <v>16</v>
      </c>
      <c r="K335" s="1">
        <v>1</v>
      </c>
    </row>
    <row r="336" spans="1:11" x14ac:dyDescent="0.35">
      <c r="A336" s="1" t="s">
        <v>394</v>
      </c>
      <c r="B336" s="2">
        <v>45379</v>
      </c>
      <c r="C336" s="1" t="s">
        <v>18</v>
      </c>
      <c r="D336" s="1" t="s">
        <v>19</v>
      </c>
      <c r="E336" s="1" t="s">
        <v>31</v>
      </c>
      <c r="F336" s="1">
        <v>15</v>
      </c>
      <c r="G336" s="5">
        <v>552.79999999999995</v>
      </c>
      <c r="H336" s="5">
        <v>8292</v>
      </c>
      <c r="I336" s="1" t="s">
        <v>26</v>
      </c>
      <c r="J336" s="1" t="s">
        <v>16</v>
      </c>
      <c r="K336" s="1">
        <v>1</v>
      </c>
    </row>
    <row r="337" spans="1:11" x14ac:dyDescent="0.35">
      <c r="A337" s="1" t="s">
        <v>395</v>
      </c>
      <c r="B337" s="2">
        <v>45627</v>
      </c>
      <c r="C337" s="1" t="s">
        <v>12</v>
      </c>
      <c r="D337" s="1" t="s">
        <v>19</v>
      </c>
      <c r="E337" s="1" t="s">
        <v>20</v>
      </c>
      <c r="F337" s="1">
        <v>3</v>
      </c>
      <c r="G337" s="5">
        <v>88.68</v>
      </c>
      <c r="H337" s="5">
        <v>266.04000000000002</v>
      </c>
      <c r="I337" s="1" t="s">
        <v>21</v>
      </c>
      <c r="J337" s="1" t="s">
        <v>16</v>
      </c>
      <c r="K337" s="1">
        <v>4</v>
      </c>
    </row>
    <row r="338" spans="1:11" x14ac:dyDescent="0.35">
      <c r="A338" s="1" t="s">
        <v>396</v>
      </c>
      <c r="B338" s="2">
        <v>45377</v>
      </c>
      <c r="C338" s="1" t="s">
        <v>18</v>
      </c>
      <c r="D338" s="1" t="s">
        <v>13</v>
      </c>
      <c r="E338" s="1" t="s">
        <v>64</v>
      </c>
      <c r="F338" s="1">
        <v>3</v>
      </c>
      <c r="G338" s="5">
        <v>175.71</v>
      </c>
      <c r="H338" s="5">
        <v>527.13</v>
      </c>
      <c r="I338" s="1" t="s">
        <v>26</v>
      </c>
      <c r="J338" s="1" t="s">
        <v>16</v>
      </c>
      <c r="K338" s="1">
        <v>1</v>
      </c>
    </row>
    <row r="339" spans="1:11" x14ac:dyDescent="0.35">
      <c r="A339" s="1" t="s">
        <v>397</v>
      </c>
      <c r="B339" s="2">
        <v>45427</v>
      </c>
      <c r="C339" s="1" t="s">
        <v>47</v>
      </c>
      <c r="D339" s="1" t="s">
        <v>24</v>
      </c>
      <c r="E339" s="1" t="s">
        <v>34</v>
      </c>
      <c r="F339" s="1">
        <v>10</v>
      </c>
      <c r="G339" s="5">
        <v>95.58</v>
      </c>
      <c r="H339" s="5">
        <v>955.8</v>
      </c>
      <c r="I339" s="1" t="s">
        <v>59</v>
      </c>
      <c r="J339" s="1" t="s">
        <v>16</v>
      </c>
      <c r="K339" s="1">
        <v>2</v>
      </c>
    </row>
    <row r="340" spans="1:11" x14ac:dyDescent="0.35">
      <c r="A340" s="1" t="s">
        <v>398</v>
      </c>
      <c r="B340" s="2">
        <v>45631</v>
      </c>
      <c r="C340" s="1" t="s">
        <v>45</v>
      </c>
      <c r="D340" s="1" t="s">
        <v>39</v>
      </c>
      <c r="E340" s="1" t="s">
        <v>76</v>
      </c>
      <c r="F340" s="1">
        <v>15</v>
      </c>
      <c r="G340" s="5">
        <v>64.5</v>
      </c>
      <c r="H340" s="5">
        <v>967.5</v>
      </c>
      <c r="I340" s="1" t="s">
        <v>21</v>
      </c>
      <c r="J340" s="1" t="s">
        <v>16</v>
      </c>
      <c r="K340" s="1">
        <v>4</v>
      </c>
    </row>
    <row r="341" spans="1:11" x14ac:dyDescent="0.35">
      <c r="A341" s="1" t="s">
        <v>399</v>
      </c>
      <c r="B341" s="2">
        <v>45409</v>
      </c>
      <c r="C341" s="1" t="s">
        <v>12</v>
      </c>
      <c r="D341" s="1" t="s">
        <v>49</v>
      </c>
      <c r="E341" s="1" t="s">
        <v>81</v>
      </c>
      <c r="F341" s="1">
        <v>4</v>
      </c>
      <c r="G341" s="5">
        <v>14.29</v>
      </c>
      <c r="H341" s="5">
        <v>57.16</v>
      </c>
      <c r="I341" s="1" t="s">
        <v>54</v>
      </c>
      <c r="J341" s="1" t="s">
        <v>16</v>
      </c>
      <c r="K341" s="1">
        <v>2</v>
      </c>
    </row>
    <row r="342" spans="1:11" x14ac:dyDescent="0.35">
      <c r="A342" s="1" t="s">
        <v>400</v>
      </c>
      <c r="B342" s="2">
        <v>45355</v>
      </c>
      <c r="C342" s="1" t="s">
        <v>23</v>
      </c>
      <c r="D342" s="1" t="s">
        <v>24</v>
      </c>
      <c r="E342" s="1" t="s">
        <v>93</v>
      </c>
      <c r="F342" s="1">
        <v>9</v>
      </c>
      <c r="G342" s="5">
        <v>47.96</v>
      </c>
      <c r="H342" s="5">
        <v>431.64</v>
      </c>
      <c r="I342" s="1" t="s">
        <v>26</v>
      </c>
      <c r="J342" s="1" t="s">
        <v>16</v>
      </c>
      <c r="K342" s="1">
        <v>1</v>
      </c>
    </row>
    <row r="343" spans="1:11" x14ac:dyDescent="0.35">
      <c r="A343" s="1" t="s">
        <v>401</v>
      </c>
      <c r="B343" s="2">
        <v>45475</v>
      </c>
      <c r="C343" s="1" t="s">
        <v>12</v>
      </c>
      <c r="D343" s="1" t="s">
        <v>24</v>
      </c>
      <c r="E343" s="1" t="s">
        <v>43</v>
      </c>
      <c r="F343" s="1">
        <v>18</v>
      </c>
      <c r="G343" s="5">
        <v>85.3</v>
      </c>
      <c r="H343" s="5">
        <v>1535.3999999999999</v>
      </c>
      <c r="I343" s="1" t="s">
        <v>56</v>
      </c>
      <c r="J343" s="1" t="s">
        <v>16</v>
      </c>
      <c r="K343" s="1">
        <v>3</v>
      </c>
    </row>
    <row r="344" spans="1:11" x14ac:dyDescent="0.35">
      <c r="A344" s="1" t="s">
        <v>402</v>
      </c>
      <c r="B344" s="2">
        <v>45612</v>
      </c>
      <c r="C344" s="1" t="s">
        <v>18</v>
      </c>
      <c r="D344" s="1" t="s">
        <v>19</v>
      </c>
      <c r="E344" s="1" t="s">
        <v>28</v>
      </c>
      <c r="F344" s="1">
        <v>4</v>
      </c>
      <c r="G344" s="5">
        <v>29.92</v>
      </c>
      <c r="H344" s="5">
        <v>119.68</v>
      </c>
      <c r="I344" s="1" t="s">
        <v>41</v>
      </c>
      <c r="J344" s="1" t="s">
        <v>16</v>
      </c>
      <c r="K344" s="1">
        <v>4</v>
      </c>
    </row>
    <row r="345" spans="1:11" x14ac:dyDescent="0.35">
      <c r="A345" s="1" t="s">
        <v>403</v>
      </c>
      <c r="B345" s="2">
        <v>45329</v>
      </c>
      <c r="C345" s="1" t="s">
        <v>12</v>
      </c>
      <c r="D345" s="1" t="s">
        <v>13</v>
      </c>
      <c r="E345" s="1" t="s">
        <v>14</v>
      </c>
      <c r="F345" s="1">
        <v>18</v>
      </c>
      <c r="G345" s="5">
        <v>137.88</v>
      </c>
      <c r="H345" s="5">
        <v>2481.84</v>
      </c>
      <c r="I345" s="1" t="s">
        <v>67</v>
      </c>
      <c r="J345" s="1" t="s">
        <v>16</v>
      </c>
      <c r="K345" s="1">
        <v>1</v>
      </c>
    </row>
    <row r="346" spans="1:11" x14ac:dyDescent="0.35">
      <c r="A346" s="1" t="s">
        <v>404</v>
      </c>
      <c r="B346" s="2">
        <v>45345</v>
      </c>
      <c r="C346" s="1" t="s">
        <v>18</v>
      </c>
      <c r="D346" s="1" t="s">
        <v>13</v>
      </c>
      <c r="E346" s="1" t="s">
        <v>64</v>
      </c>
      <c r="F346" s="1">
        <v>10</v>
      </c>
      <c r="G346" s="5">
        <v>173.11</v>
      </c>
      <c r="H346" s="5">
        <v>1731.1000000000001</v>
      </c>
      <c r="I346" s="1" t="s">
        <v>67</v>
      </c>
      <c r="J346" s="1" t="s">
        <v>16</v>
      </c>
      <c r="K346" s="1">
        <v>1</v>
      </c>
    </row>
    <row r="347" spans="1:11" x14ac:dyDescent="0.35">
      <c r="A347" s="1" t="s">
        <v>405</v>
      </c>
      <c r="B347" s="2">
        <v>45650</v>
      </c>
      <c r="C347" s="1" t="s">
        <v>23</v>
      </c>
      <c r="D347" s="1" t="s">
        <v>24</v>
      </c>
      <c r="E347" s="1" t="s">
        <v>73</v>
      </c>
      <c r="F347" s="1">
        <v>13</v>
      </c>
      <c r="G347" s="5">
        <v>127.86</v>
      </c>
      <c r="H347" s="5">
        <v>1662.18</v>
      </c>
      <c r="I347" s="1" t="s">
        <v>21</v>
      </c>
      <c r="J347" s="1" t="s">
        <v>16</v>
      </c>
      <c r="K347" s="1">
        <v>4</v>
      </c>
    </row>
    <row r="348" spans="1:11" x14ac:dyDescent="0.35">
      <c r="A348" s="1" t="s">
        <v>406</v>
      </c>
      <c r="B348" s="2">
        <v>45385</v>
      </c>
      <c r="C348" s="1" t="s">
        <v>23</v>
      </c>
      <c r="D348" s="1" t="s">
        <v>49</v>
      </c>
      <c r="E348" s="1" t="s">
        <v>81</v>
      </c>
      <c r="F348" s="1">
        <v>3</v>
      </c>
      <c r="G348" s="5">
        <v>15.25</v>
      </c>
      <c r="H348" s="5">
        <v>45.75</v>
      </c>
      <c r="I348" s="1" t="s">
        <v>54</v>
      </c>
      <c r="J348" s="1" t="s">
        <v>16</v>
      </c>
      <c r="K348" s="1">
        <v>2</v>
      </c>
    </row>
    <row r="349" spans="1:11" x14ac:dyDescent="0.35">
      <c r="A349" s="1" t="s">
        <v>407</v>
      </c>
      <c r="B349" s="2">
        <v>45316</v>
      </c>
      <c r="C349" s="1" t="s">
        <v>45</v>
      </c>
      <c r="D349" s="1" t="s">
        <v>24</v>
      </c>
      <c r="E349" s="1" t="s">
        <v>93</v>
      </c>
      <c r="F349" s="1">
        <v>15</v>
      </c>
      <c r="G349" s="5">
        <v>44.33</v>
      </c>
      <c r="H349" s="5">
        <v>664.94999999999993</v>
      </c>
      <c r="I349" s="1" t="s">
        <v>90</v>
      </c>
      <c r="J349" s="1" t="s">
        <v>16</v>
      </c>
      <c r="K349" s="1">
        <v>1</v>
      </c>
    </row>
    <row r="350" spans="1:11" x14ac:dyDescent="0.35">
      <c r="A350" s="1" t="s">
        <v>408</v>
      </c>
      <c r="B350" s="2">
        <v>45536</v>
      </c>
      <c r="C350" s="1" t="s">
        <v>47</v>
      </c>
      <c r="D350" s="1" t="s">
        <v>24</v>
      </c>
      <c r="E350" s="1" t="s">
        <v>93</v>
      </c>
      <c r="F350" s="1">
        <v>16</v>
      </c>
      <c r="G350" s="5">
        <v>43.25</v>
      </c>
      <c r="H350" s="5">
        <v>692</v>
      </c>
      <c r="I350" s="1" t="s">
        <v>37</v>
      </c>
      <c r="J350" s="1" t="s">
        <v>16</v>
      </c>
      <c r="K350" s="1">
        <v>3</v>
      </c>
    </row>
    <row r="351" spans="1:11" x14ac:dyDescent="0.35">
      <c r="A351" s="1" t="s">
        <v>409</v>
      </c>
      <c r="B351" s="2">
        <v>45523</v>
      </c>
      <c r="C351" s="1" t="s">
        <v>18</v>
      </c>
      <c r="D351" s="1" t="s">
        <v>13</v>
      </c>
      <c r="E351" s="1" t="s">
        <v>119</v>
      </c>
      <c r="F351" s="1">
        <v>4</v>
      </c>
      <c r="G351" s="5">
        <v>253.81</v>
      </c>
      <c r="H351" s="5">
        <v>1015.24</v>
      </c>
      <c r="I351" s="1" t="s">
        <v>62</v>
      </c>
      <c r="J351" s="1" t="s">
        <v>16</v>
      </c>
      <c r="K351" s="1">
        <v>3</v>
      </c>
    </row>
    <row r="352" spans="1:11" x14ac:dyDescent="0.35">
      <c r="A352" s="1" t="s">
        <v>410</v>
      </c>
      <c r="B352" s="2">
        <v>45440</v>
      </c>
      <c r="C352" s="1" t="s">
        <v>45</v>
      </c>
      <c r="D352" s="1" t="s">
        <v>13</v>
      </c>
      <c r="E352" s="1" t="s">
        <v>36</v>
      </c>
      <c r="F352" s="1">
        <v>19</v>
      </c>
      <c r="G352" s="5">
        <v>18.71</v>
      </c>
      <c r="H352" s="5">
        <v>355.49</v>
      </c>
      <c r="I352" s="1" t="s">
        <v>59</v>
      </c>
      <c r="J352" s="1" t="s">
        <v>16</v>
      </c>
      <c r="K352" s="1">
        <v>2</v>
      </c>
    </row>
    <row r="353" spans="1:11" x14ac:dyDescent="0.35">
      <c r="A353" s="1" t="s">
        <v>411</v>
      </c>
      <c r="B353" s="2">
        <v>45468</v>
      </c>
      <c r="C353" s="1" t="s">
        <v>45</v>
      </c>
      <c r="D353" s="1" t="s">
        <v>13</v>
      </c>
      <c r="E353" s="1" t="s">
        <v>101</v>
      </c>
      <c r="F353" s="1">
        <v>6</v>
      </c>
      <c r="G353" s="5">
        <v>52.19</v>
      </c>
      <c r="H353" s="5">
        <v>313.14</v>
      </c>
      <c r="I353" s="1" t="s">
        <v>15</v>
      </c>
      <c r="J353" s="1" t="s">
        <v>16</v>
      </c>
      <c r="K353" s="1">
        <v>2</v>
      </c>
    </row>
    <row r="354" spans="1:11" x14ac:dyDescent="0.35">
      <c r="A354" s="1" t="s">
        <v>412</v>
      </c>
      <c r="B354" s="2">
        <v>45557</v>
      </c>
      <c r="C354" s="1" t="s">
        <v>23</v>
      </c>
      <c r="D354" s="1" t="s">
        <v>13</v>
      </c>
      <c r="E354" s="1" t="s">
        <v>14</v>
      </c>
      <c r="F354" s="1">
        <v>15</v>
      </c>
      <c r="G354" s="5">
        <v>147.9</v>
      </c>
      <c r="H354" s="5">
        <v>2218.5</v>
      </c>
      <c r="I354" s="1" t="s">
        <v>37</v>
      </c>
      <c r="J354" s="1" t="s">
        <v>16</v>
      </c>
      <c r="K354" s="1">
        <v>3</v>
      </c>
    </row>
    <row r="355" spans="1:11" x14ac:dyDescent="0.35">
      <c r="A355" s="1" t="s">
        <v>413</v>
      </c>
      <c r="B355" s="2">
        <v>45365</v>
      </c>
      <c r="C355" s="1" t="s">
        <v>18</v>
      </c>
      <c r="D355" s="1" t="s">
        <v>19</v>
      </c>
      <c r="E355" s="1" t="s">
        <v>20</v>
      </c>
      <c r="F355" s="1">
        <v>17</v>
      </c>
      <c r="G355" s="5">
        <v>88.08</v>
      </c>
      <c r="H355" s="5">
        <v>1497.36</v>
      </c>
      <c r="I355" s="1" t="s">
        <v>26</v>
      </c>
      <c r="J355" s="1" t="s">
        <v>16</v>
      </c>
      <c r="K355" s="1">
        <v>1</v>
      </c>
    </row>
    <row r="356" spans="1:11" x14ac:dyDescent="0.35">
      <c r="A356" s="1" t="s">
        <v>414</v>
      </c>
      <c r="B356" s="2">
        <v>45297</v>
      </c>
      <c r="C356" s="1" t="s">
        <v>47</v>
      </c>
      <c r="D356" s="1" t="s">
        <v>13</v>
      </c>
      <c r="E356" s="1" t="s">
        <v>36</v>
      </c>
      <c r="F356" s="1">
        <v>11</v>
      </c>
      <c r="G356" s="5">
        <v>17.399999999999999</v>
      </c>
      <c r="H356" s="5">
        <v>191.39999999999998</v>
      </c>
      <c r="I356" s="1" t="s">
        <v>90</v>
      </c>
      <c r="J356" s="1" t="s">
        <v>16</v>
      </c>
      <c r="K356" s="1">
        <v>1</v>
      </c>
    </row>
    <row r="357" spans="1:11" x14ac:dyDescent="0.35">
      <c r="A357" s="1" t="s">
        <v>415</v>
      </c>
      <c r="B357" s="2">
        <v>45292</v>
      </c>
      <c r="C357" s="1" t="s">
        <v>18</v>
      </c>
      <c r="D357" s="1" t="s">
        <v>49</v>
      </c>
      <c r="E357" s="1" t="s">
        <v>115</v>
      </c>
      <c r="F357" s="1">
        <v>2</v>
      </c>
      <c r="G357" s="5">
        <v>21.5</v>
      </c>
      <c r="H357" s="5">
        <v>43</v>
      </c>
      <c r="I357" s="1" t="s">
        <v>90</v>
      </c>
      <c r="J357" s="1" t="s">
        <v>16</v>
      </c>
      <c r="K357" s="1">
        <v>1</v>
      </c>
    </row>
    <row r="358" spans="1:11" x14ac:dyDescent="0.35">
      <c r="A358" s="1" t="s">
        <v>416</v>
      </c>
      <c r="B358" s="2">
        <v>45573</v>
      </c>
      <c r="C358" s="1" t="s">
        <v>47</v>
      </c>
      <c r="D358" s="1" t="s">
        <v>39</v>
      </c>
      <c r="E358" s="1" t="s">
        <v>110</v>
      </c>
      <c r="F358" s="1">
        <v>9</v>
      </c>
      <c r="G358" s="5">
        <v>288.45</v>
      </c>
      <c r="H358" s="5">
        <v>2596.0499999999997</v>
      </c>
      <c r="I358" s="1" t="s">
        <v>29</v>
      </c>
      <c r="J358" s="1" t="s">
        <v>16</v>
      </c>
      <c r="K358" s="1">
        <v>4</v>
      </c>
    </row>
    <row r="359" spans="1:11" x14ac:dyDescent="0.35">
      <c r="A359" s="1" t="s">
        <v>417</v>
      </c>
      <c r="B359" s="2">
        <v>45618</v>
      </c>
      <c r="C359" s="1" t="s">
        <v>45</v>
      </c>
      <c r="D359" s="1" t="s">
        <v>39</v>
      </c>
      <c r="E359" s="1" t="s">
        <v>58</v>
      </c>
      <c r="F359" s="1">
        <v>8</v>
      </c>
      <c r="G359" s="5">
        <v>95.85</v>
      </c>
      <c r="H359" s="5">
        <v>766.8</v>
      </c>
      <c r="I359" s="1" t="s">
        <v>41</v>
      </c>
      <c r="J359" s="1" t="s">
        <v>16</v>
      </c>
      <c r="K359" s="1">
        <v>4</v>
      </c>
    </row>
    <row r="360" spans="1:11" x14ac:dyDescent="0.35">
      <c r="A360" s="1" t="s">
        <v>418</v>
      </c>
      <c r="B360" s="2">
        <v>45642</v>
      </c>
      <c r="C360" s="1" t="s">
        <v>12</v>
      </c>
      <c r="D360" s="1" t="s">
        <v>49</v>
      </c>
      <c r="E360" s="1" t="s">
        <v>81</v>
      </c>
      <c r="F360" s="1">
        <v>5</v>
      </c>
      <c r="G360" s="5">
        <v>14.39</v>
      </c>
      <c r="H360" s="5">
        <v>71.95</v>
      </c>
      <c r="I360" s="1" t="s">
        <v>21</v>
      </c>
      <c r="J360" s="1" t="s">
        <v>16</v>
      </c>
      <c r="K360" s="1">
        <v>4</v>
      </c>
    </row>
    <row r="361" spans="1:11" x14ac:dyDescent="0.35">
      <c r="A361" s="1" t="s">
        <v>419</v>
      </c>
      <c r="B361" s="2">
        <v>45342</v>
      </c>
      <c r="C361" s="1" t="s">
        <v>47</v>
      </c>
      <c r="D361" s="1" t="s">
        <v>49</v>
      </c>
      <c r="E361" s="1" t="s">
        <v>81</v>
      </c>
      <c r="F361" s="1">
        <v>10</v>
      </c>
      <c r="G361" s="5">
        <v>16.28</v>
      </c>
      <c r="H361" s="5">
        <v>162.80000000000001</v>
      </c>
      <c r="I361" s="1" t="s">
        <v>67</v>
      </c>
      <c r="J361" s="1" t="s">
        <v>16</v>
      </c>
      <c r="K361" s="1">
        <v>1</v>
      </c>
    </row>
    <row r="362" spans="1:11" x14ac:dyDescent="0.35">
      <c r="A362" s="1" t="s">
        <v>420</v>
      </c>
      <c r="B362" s="2">
        <v>45409</v>
      </c>
      <c r="C362" s="1" t="s">
        <v>23</v>
      </c>
      <c r="D362" s="1" t="s">
        <v>49</v>
      </c>
      <c r="E362" s="1" t="s">
        <v>52</v>
      </c>
      <c r="F362" s="1">
        <v>17</v>
      </c>
      <c r="G362" s="5">
        <v>25.76</v>
      </c>
      <c r="H362" s="5">
        <v>437.92</v>
      </c>
      <c r="I362" s="1" t="s">
        <v>54</v>
      </c>
      <c r="J362" s="1" t="s">
        <v>16</v>
      </c>
      <c r="K362" s="1">
        <v>2</v>
      </c>
    </row>
    <row r="363" spans="1:11" x14ac:dyDescent="0.35">
      <c r="A363" s="1" t="s">
        <v>421</v>
      </c>
      <c r="B363" s="2">
        <v>45607</v>
      </c>
      <c r="C363" s="1" t="s">
        <v>12</v>
      </c>
      <c r="D363" s="1" t="s">
        <v>19</v>
      </c>
      <c r="E363" s="1" t="s">
        <v>31</v>
      </c>
      <c r="F363" s="1">
        <v>11</v>
      </c>
      <c r="G363" s="5">
        <v>598.44000000000005</v>
      </c>
      <c r="H363" s="5">
        <v>6582.84</v>
      </c>
      <c r="I363" s="1" t="s">
        <v>41</v>
      </c>
      <c r="J363" s="1" t="s">
        <v>16</v>
      </c>
      <c r="K363" s="1">
        <v>4</v>
      </c>
    </row>
    <row r="364" spans="1:11" x14ac:dyDescent="0.35">
      <c r="A364" s="1" t="s">
        <v>422</v>
      </c>
      <c r="B364" s="2">
        <v>45333</v>
      </c>
      <c r="C364" s="1" t="s">
        <v>18</v>
      </c>
      <c r="D364" s="1" t="s">
        <v>49</v>
      </c>
      <c r="E364" s="1" t="s">
        <v>115</v>
      </c>
      <c r="F364" s="1">
        <v>12</v>
      </c>
      <c r="G364" s="5">
        <v>21.16</v>
      </c>
      <c r="H364" s="5">
        <v>253.92000000000002</v>
      </c>
      <c r="I364" s="1" t="s">
        <v>67</v>
      </c>
      <c r="J364" s="1" t="s">
        <v>16</v>
      </c>
      <c r="K364" s="1">
        <v>1</v>
      </c>
    </row>
    <row r="365" spans="1:11" x14ac:dyDescent="0.35">
      <c r="A365" s="1" t="s">
        <v>423</v>
      </c>
      <c r="B365" s="2">
        <v>45510</v>
      </c>
      <c r="C365" s="1" t="s">
        <v>18</v>
      </c>
      <c r="D365" s="1" t="s">
        <v>39</v>
      </c>
      <c r="E365" s="1" t="s">
        <v>110</v>
      </c>
      <c r="F365" s="1">
        <v>13</v>
      </c>
      <c r="G365" s="5">
        <v>314.07</v>
      </c>
      <c r="H365" s="5">
        <v>4082.91</v>
      </c>
      <c r="I365" s="1" t="s">
        <v>62</v>
      </c>
      <c r="J365" s="1" t="s">
        <v>16</v>
      </c>
      <c r="K365" s="1">
        <v>3</v>
      </c>
    </row>
    <row r="366" spans="1:11" x14ac:dyDescent="0.35">
      <c r="A366" s="1" t="s">
        <v>424</v>
      </c>
      <c r="B366" s="2">
        <v>45319</v>
      </c>
      <c r="C366" s="1" t="s">
        <v>23</v>
      </c>
      <c r="D366" s="1" t="s">
        <v>24</v>
      </c>
      <c r="E366" s="1" t="s">
        <v>93</v>
      </c>
      <c r="F366" s="1">
        <v>3</v>
      </c>
      <c r="G366" s="5">
        <v>44.74</v>
      </c>
      <c r="H366" s="5">
        <v>134.22</v>
      </c>
      <c r="I366" s="1" t="s">
        <v>90</v>
      </c>
      <c r="J366" s="1" t="s">
        <v>16</v>
      </c>
      <c r="K366" s="1">
        <v>1</v>
      </c>
    </row>
    <row r="367" spans="1:11" x14ac:dyDescent="0.35">
      <c r="A367" s="1" t="s">
        <v>425</v>
      </c>
      <c r="B367" s="2">
        <v>45511</v>
      </c>
      <c r="C367" s="1" t="s">
        <v>45</v>
      </c>
      <c r="D367" s="1" t="s">
        <v>49</v>
      </c>
      <c r="E367" s="1" t="s">
        <v>81</v>
      </c>
      <c r="F367" s="1">
        <v>2</v>
      </c>
      <c r="G367" s="5">
        <v>14.84</v>
      </c>
      <c r="H367" s="5">
        <v>29.68</v>
      </c>
      <c r="I367" s="1" t="s">
        <v>62</v>
      </c>
      <c r="J367" s="1" t="s">
        <v>16</v>
      </c>
      <c r="K367" s="1">
        <v>3</v>
      </c>
    </row>
    <row r="368" spans="1:11" x14ac:dyDescent="0.35">
      <c r="A368" s="1" t="s">
        <v>426</v>
      </c>
      <c r="B368" s="2">
        <v>45602</v>
      </c>
      <c r="C368" s="1" t="s">
        <v>23</v>
      </c>
      <c r="D368" s="1" t="s">
        <v>49</v>
      </c>
      <c r="E368" s="1" t="s">
        <v>99</v>
      </c>
      <c r="F368" s="1">
        <v>15</v>
      </c>
      <c r="G368" s="5">
        <v>62.03</v>
      </c>
      <c r="H368" s="5">
        <v>930.45</v>
      </c>
      <c r="I368" s="1" t="s">
        <v>41</v>
      </c>
      <c r="J368" s="1" t="s">
        <v>16</v>
      </c>
      <c r="K368" s="1">
        <v>4</v>
      </c>
    </row>
    <row r="369" spans="1:11" x14ac:dyDescent="0.35">
      <c r="A369" s="1" t="s">
        <v>427</v>
      </c>
      <c r="B369" s="2">
        <v>45421</v>
      </c>
      <c r="C369" s="1" t="s">
        <v>45</v>
      </c>
      <c r="D369" s="1" t="s">
        <v>24</v>
      </c>
      <c r="E369" s="1" t="s">
        <v>34</v>
      </c>
      <c r="F369" s="1">
        <v>19</v>
      </c>
      <c r="G369" s="5">
        <v>95.93</v>
      </c>
      <c r="H369" s="5">
        <v>1822.67</v>
      </c>
      <c r="I369" s="1" t="s">
        <v>59</v>
      </c>
      <c r="J369" s="1" t="s">
        <v>16</v>
      </c>
      <c r="K369" s="1">
        <v>2</v>
      </c>
    </row>
    <row r="370" spans="1:11" x14ac:dyDescent="0.35">
      <c r="A370" s="1" t="s">
        <v>428</v>
      </c>
      <c r="B370" s="2">
        <v>45613</v>
      </c>
      <c r="C370" s="1" t="s">
        <v>45</v>
      </c>
      <c r="D370" s="1" t="s">
        <v>13</v>
      </c>
      <c r="E370" s="1" t="s">
        <v>36</v>
      </c>
      <c r="F370" s="1">
        <v>11</v>
      </c>
      <c r="G370" s="5">
        <v>19.559999999999999</v>
      </c>
      <c r="H370" s="5">
        <v>215.16</v>
      </c>
      <c r="I370" s="1" t="s">
        <v>41</v>
      </c>
      <c r="J370" s="1" t="s">
        <v>16</v>
      </c>
      <c r="K370" s="1">
        <v>4</v>
      </c>
    </row>
    <row r="371" spans="1:11" x14ac:dyDescent="0.35">
      <c r="A371" s="1" t="s">
        <v>429</v>
      </c>
      <c r="B371" s="2">
        <v>45394</v>
      </c>
      <c r="C371" s="1" t="s">
        <v>47</v>
      </c>
      <c r="D371" s="1" t="s">
        <v>39</v>
      </c>
      <c r="E371" s="1" t="s">
        <v>76</v>
      </c>
      <c r="F371" s="1">
        <v>17</v>
      </c>
      <c r="G371" s="5">
        <v>59.57</v>
      </c>
      <c r="H371" s="5">
        <v>1012.69</v>
      </c>
      <c r="I371" s="1" t="s">
        <v>54</v>
      </c>
      <c r="J371" s="1" t="s">
        <v>16</v>
      </c>
      <c r="K371" s="1">
        <v>2</v>
      </c>
    </row>
    <row r="372" spans="1:11" x14ac:dyDescent="0.35">
      <c r="A372" s="1" t="s">
        <v>430</v>
      </c>
      <c r="B372" s="2">
        <v>45327</v>
      </c>
      <c r="C372" s="1" t="s">
        <v>12</v>
      </c>
      <c r="D372" s="1" t="s">
        <v>24</v>
      </c>
      <c r="E372" s="1" t="s">
        <v>25</v>
      </c>
      <c r="F372" s="1">
        <v>14</v>
      </c>
      <c r="G372" s="5">
        <v>243.27</v>
      </c>
      <c r="H372" s="5">
        <v>3405.78</v>
      </c>
      <c r="I372" s="1" t="s">
        <v>67</v>
      </c>
      <c r="J372" s="1" t="s">
        <v>16</v>
      </c>
      <c r="K372" s="1">
        <v>1</v>
      </c>
    </row>
    <row r="373" spans="1:11" x14ac:dyDescent="0.35">
      <c r="A373" s="1" t="s">
        <v>431</v>
      </c>
      <c r="B373" s="2">
        <v>45527</v>
      </c>
      <c r="C373" s="1" t="s">
        <v>23</v>
      </c>
      <c r="D373" s="1" t="s">
        <v>24</v>
      </c>
      <c r="E373" s="1" t="s">
        <v>93</v>
      </c>
      <c r="F373" s="1">
        <v>4</v>
      </c>
      <c r="G373" s="5">
        <v>44.39</v>
      </c>
      <c r="H373" s="5">
        <v>177.56</v>
      </c>
      <c r="I373" s="1" t="s">
        <v>62</v>
      </c>
      <c r="J373" s="1" t="s">
        <v>16</v>
      </c>
      <c r="K373" s="1">
        <v>3</v>
      </c>
    </row>
    <row r="374" spans="1:11" x14ac:dyDescent="0.35">
      <c r="A374" s="1" t="s">
        <v>432</v>
      </c>
      <c r="B374" s="2">
        <v>45358</v>
      </c>
      <c r="C374" s="1" t="s">
        <v>18</v>
      </c>
      <c r="D374" s="1" t="s">
        <v>24</v>
      </c>
      <c r="E374" s="1" t="s">
        <v>43</v>
      </c>
      <c r="F374" s="1">
        <v>18</v>
      </c>
      <c r="G374" s="5">
        <v>81.709999999999994</v>
      </c>
      <c r="H374" s="5">
        <v>1470.78</v>
      </c>
      <c r="I374" s="1" t="s">
        <v>26</v>
      </c>
      <c r="J374" s="1" t="s">
        <v>16</v>
      </c>
      <c r="K374" s="1">
        <v>1</v>
      </c>
    </row>
    <row r="375" spans="1:11" x14ac:dyDescent="0.35">
      <c r="A375" s="1" t="s">
        <v>433</v>
      </c>
      <c r="B375" s="2">
        <v>45347</v>
      </c>
      <c r="C375" s="1" t="s">
        <v>23</v>
      </c>
      <c r="D375" s="1" t="s">
        <v>13</v>
      </c>
      <c r="E375" s="1" t="s">
        <v>36</v>
      </c>
      <c r="F375" s="1">
        <v>4</v>
      </c>
      <c r="G375" s="5">
        <v>19.16</v>
      </c>
      <c r="H375" s="5">
        <v>76.64</v>
      </c>
      <c r="I375" s="1" t="s">
        <v>67</v>
      </c>
      <c r="J375" s="1" t="s">
        <v>16</v>
      </c>
      <c r="K375" s="1">
        <v>1</v>
      </c>
    </row>
    <row r="376" spans="1:11" x14ac:dyDescent="0.35">
      <c r="A376" s="1" t="s">
        <v>434</v>
      </c>
      <c r="B376" s="2">
        <v>45630</v>
      </c>
      <c r="C376" s="1" t="s">
        <v>23</v>
      </c>
      <c r="D376" s="1" t="s">
        <v>24</v>
      </c>
      <c r="E376" s="1" t="s">
        <v>34</v>
      </c>
      <c r="F376" s="1">
        <v>15</v>
      </c>
      <c r="G376" s="5">
        <v>92.65</v>
      </c>
      <c r="H376" s="5">
        <v>1389.75</v>
      </c>
      <c r="I376" s="1" t="s">
        <v>21</v>
      </c>
      <c r="J376" s="1" t="s">
        <v>16</v>
      </c>
      <c r="K376" s="1">
        <v>4</v>
      </c>
    </row>
    <row r="377" spans="1:11" x14ac:dyDescent="0.35">
      <c r="A377" s="1" t="s">
        <v>435</v>
      </c>
      <c r="B377" s="2">
        <v>45493</v>
      </c>
      <c r="C377" s="1" t="s">
        <v>23</v>
      </c>
      <c r="D377" s="1" t="s">
        <v>39</v>
      </c>
      <c r="E377" s="1" t="s">
        <v>40</v>
      </c>
      <c r="F377" s="1">
        <v>9</v>
      </c>
      <c r="G377" s="5">
        <v>146.77000000000001</v>
      </c>
      <c r="H377" s="5">
        <v>1320.93</v>
      </c>
      <c r="I377" s="1" t="s">
        <v>56</v>
      </c>
      <c r="J377" s="1" t="s">
        <v>16</v>
      </c>
      <c r="K377" s="1">
        <v>3</v>
      </c>
    </row>
    <row r="378" spans="1:11" x14ac:dyDescent="0.35">
      <c r="A378" s="1" t="s">
        <v>436</v>
      </c>
      <c r="B378" s="2">
        <v>45530</v>
      </c>
      <c r="C378" s="1" t="s">
        <v>23</v>
      </c>
      <c r="D378" s="1" t="s">
        <v>13</v>
      </c>
      <c r="E378" s="1" t="s">
        <v>119</v>
      </c>
      <c r="F378" s="1">
        <v>3</v>
      </c>
      <c r="G378" s="5">
        <v>253.05</v>
      </c>
      <c r="H378" s="5">
        <v>759.15000000000009</v>
      </c>
      <c r="I378" s="1" t="s">
        <v>62</v>
      </c>
      <c r="J378" s="1" t="s">
        <v>16</v>
      </c>
      <c r="K378" s="1">
        <v>3</v>
      </c>
    </row>
    <row r="379" spans="1:11" x14ac:dyDescent="0.35">
      <c r="A379" s="1" t="s">
        <v>437</v>
      </c>
      <c r="B379" s="2">
        <v>45585</v>
      </c>
      <c r="C379" s="1" t="s">
        <v>18</v>
      </c>
      <c r="D379" s="1" t="s">
        <v>39</v>
      </c>
      <c r="E379" s="1" t="s">
        <v>110</v>
      </c>
      <c r="F379" s="1">
        <v>11</v>
      </c>
      <c r="G379" s="5">
        <v>307.61</v>
      </c>
      <c r="H379" s="5">
        <v>3383.71</v>
      </c>
      <c r="I379" s="1" t="s">
        <v>29</v>
      </c>
      <c r="J379" s="1" t="s">
        <v>16</v>
      </c>
      <c r="K379" s="1">
        <v>4</v>
      </c>
    </row>
    <row r="380" spans="1:11" x14ac:dyDescent="0.35">
      <c r="A380" s="1" t="s">
        <v>438</v>
      </c>
      <c r="B380" s="2">
        <v>45446</v>
      </c>
      <c r="C380" s="1" t="s">
        <v>23</v>
      </c>
      <c r="D380" s="1" t="s">
        <v>19</v>
      </c>
      <c r="E380" s="1" t="s">
        <v>31</v>
      </c>
      <c r="F380" s="1">
        <v>14</v>
      </c>
      <c r="G380" s="5">
        <v>586.76</v>
      </c>
      <c r="H380" s="5">
        <v>8214.64</v>
      </c>
      <c r="I380" s="1" t="s">
        <v>15</v>
      </c>
      <c r="J380" s="1" t="s">
        <v>16</v>
      </c>
      <c r="K380" s="1">
        <v>2</v>
      </c>
    </row>
    <row r="381" spans="1:11" x14ac:dyDescent="0.35">
      <c r="A381" s="1" t="s">
        <v>439</v>
      </c>
      <c r="B381" s="2">
        <v>45638</v>
      </c>
      <c r="C381" s="1" t="s">
        <v>18</v>
      </c>
      <c r="D381" s="1" t="s">
        <v>49</v>
      </c>
      <c r="E381" s="1" t="s">
        <v>99</v>
      </c>
      <c r="F381" s="1">
        <v>12</v>
      </c>
      <c r="G381" s="5">
        <v>64.5</v>
      </c>
      <c r="H381" s="5">
        <v>774</v>
      </c>
      <c r="I381" s="1" t="s">
        <v>21</v>
      </c>
      <c r="J381" s="1" t="s">
        <v>16</v>
      </c>
      <c r="K381" s="1">
        <v>4</v>
      </c>
    </row>
    <row r="382" spans="1:11" x14ac:dyDescent="0.35">
      <c r="A382" s="1" t="s">
        <v>440</v>
      </c>
      <c r="B382" s="2">
        <v>45617</v>
      </c>
      <c r="C382" s="1" t="s">
        <v>18</v>
      </c>
      <c r="D382" s="1" t="s">
        <v>49</v>
      </c>
      <c r="E382" s="1" t="s">
        <v>115</v>
      </c>
      <c r="F382" s="1">
        <v>18</v>
      </c>
      <c r="G382" s="5">
        <v>21.92</v>
      </c>
      <c r="H382" s="5">
        <v>394.56000000000006</v>
      </c>
      <c r="I382" s="1" t="s">
        <v>41</v>
      </c>
      <c r="J382" s="1" t="s">
        <v>16</v>
      </c>
      <c r="K382" s="1">
        <v>4</v>
      </c>
    </row>
    <row r="383" spans="1:11" x14ac:dyDescent="0.35">
      <c r="A383" s="1" t="s">
        <v>441</v>
      </c>
      <c r="B383" s="2">
        <v>45420</v>
      </c>
      <c r="C383" s="1" t="s">
        <v>12</v>
      </c>
      <c r="D383" s="1" t="s">
        <v>39</v>
      </c>
      <c r="E383" s="1" t="s">
        <v>86</v>
      </c>
      <c r="F383" s="1">
        <v>13</v>
      </c>
      <c r="G383" s="5">
        <v>214.52</v>
      </c>
      <c r="H383" s="5">
        <v>2788.76</v>
      </c>
      <c r="I383" s="1" t="s">
        <v>59</v>
      </c>
      <c r="J383" s="1" t="s">
        <v>16</v>
      </c>
      <c r="K383" s="1">
        <v>2</v>
      </c>
    </row>
    <row r="384" spans="1:11" x14ac:dyDescent="0.35">
      <c r="A384" s="1" t="s">
        <v>442</v>
      </c>
      <c r="B384" s="2">
        <v>45437</v>
      </c>
      <c r="C384" s="1" t="s">
        <v>23</v>
      </c>
      <c r="D384" s="1" t="s">
        <v>13</v>
      </c>
      <c r="E384" s="1" t="s">
        <v>101</v>
      </c>
      <c r="F384" s="1">
        <v>5</v>
      </c>
      <c r="G384" s="5">
        <v>50.71</v>
      </c>
      <c r="H384" s="5">
        <v>253.55</v>
      </c>
      <c r="I384" s="1" t="s">
        <v>59</v>
      </c>
      <c r="J384" s="1" t="s">
        <v>16</v>
      </c>
      <c r="K384" s="1">
        <v>2</v>
      </c>
    </row>
    <row r="385" spans="1:11" x14ac:dyDescent="0.35">
      <c r="A385" s="1" t="s">
        <v>443</v>
      </c>
      <c r="B385" s="2">
        <v>45398</v>
      </c>
      <c r="C385" s="1" t="s">
        <v>18</v>
      </c>
      <c r="D385" s="1" t="s">
        <v>19</v>
      </c>
      <c r="E385" s="1" t="s">
        <v>28</v>
      </c>
      <c r="F385" s="1">
        <v>3</v>
      </c>
      <c r="G385" s="5">
        <v>28.85</v>
      </c>
      <c r="H385" s="5">
        <v>86.550000000000011</v>
      </c>
      <c r="I385" s="1" t="s">
        <v>54</v>
      </c>
      <c r="J385" s="1" t="s">
        <v>16</v>
      </c>
      <c r="K385" s="1">
        <v>2</v>
      </c>
    </row>
    <row r="386" spans="1:11" x14ac:dyDescent="0.35">
      <c r="A386" s="1" t="s">
        <v>444</v>
      </c>
      <c r="B386" s="2">
        <v>45534</v>
      </c>
      <c r="C386" s="1" t="s">
        <v>18</v>
      </c>
      <c r="D386" s="1" t="s">
        <v>13</v>
      </c>
      <c r="E386" s="1" t="s">
        <v>36</v>
      </c>
      <c r="F386" s="1">
        <v>14</v>
      </c>
      <c r="G386" s="5">
        <v>19.79</v>
      </c>
      <c r="H386" s="5">
        <v>277.06</v>
      </c>
      <c r="I386" s="1" t="s">
        <v>62</v>
      </c>
      <c r="J386" s="1" t="s">
        <v>16</v>
      </c>
      <c r="K386" s="1">
        <v>3</v>
      </c>
    </row>
    <row r="387" spans="1:11" x14ac:dyDescent="0.35">
      <c r="A387" s="1" t="s">
        <v>445</v>
      </c>
      <c r="B387" s="2">
        <v>45377</v>
      </c>
      <c r="C387" s="1" t="s">
        <v>47</v>
      </c>
      <c r="D387" s="1" t="s">
        <v>19</v>
      </c>
      <c r="E387" s="1" t="s">
        <v>83</v>
      </c>
      <c r="F387" s="1">
        <v>6</v>
      </c>
      <c r="G387" s="5">
        <v>385.26</v>
      </c>
      <c r="H387" s="5">
        <v>2311.56</v>
      </c>
      <c r="I387" s="1" t="s">
        <v>26</v>
      </c>
      <c r="J387" s="1" t="s">
        <v>16</v>
      </c>
      <c r="K387" s="1">
        <v>1</v>
      </c>
    </row>
    <row r="388" spans="1:11" x14ac:dyDescent="0.35">
      <c r="A388" s="1" t="s">
        <v>446</v>
      </c>
      <c r="B388" s="2">
        <v>45529</v>
      </c>
      <c r="C388" s="1" t="s">
        <v>18</v>
      </c>
      <c r="D388" s="1" t="s">
        <v>13</v>
      </c>
      <c r="E388" s="1" t="s">
        <v>14</v>
      </c>
      <c r="F388" s="1">
        <v>11</v>
      </c>
      <c r="G388" s="5">
        <v>132.65</v>
      </c>
      <c r="H388" s="5">
        <v>1459.15</v>
      </c>
      <c r="I388" s="1" t="s">
        <v>62</v>
      </c>
      <c r="J388" s="1" t="s">
        <v>16</v>
      </c>
      <c r="K388" s="1">
        <v>3</v>
      </c>
    </row>
    <row r="389" spans="1:11" x14ac:dyDescent="0.35">
      <c r="A389" s="1" t="s">
        <v>447</v>
      </c>
      <c r="B389" s="2">
        <v>45539</v>
      </c>
      <c r="C389" s="1" t="s">
        <v>23</v>
      </c>
      <c r="D389" s="1" t="s">
        <v>24</v>
      </c>
      <c r="E389" s="1" t="s">
        <v>34</v>
      </c>
      <c r="F389" s="1">
        <v>16</v>
      </c>
      <c r="G389" s="5">
        <v>87.64</v>
      </c>
      <c r="H389" s="5">
        <v>1402.24</v>
      </c>
      <c r="I389" s="1" t="s">
        <v>37</v>
      </c>
      <c r="J389" s="1" t="s">
        <v>16</v>
      </c>
      <c r="K389" s="1">
        <v>3</v>
      </c>
    </row>
    <row r="390" spans="1:11" x14ac:dyDescent="0.35">
      <c r="A390" s="1" t="s">
        <v>448</v>
      </c>
      <c r="B390" s="2">
        <v>45412</v>
      </c>
      <c r="C390" s="1" t="s">
        <v>47</v>
      </c>
      <c r="D390" s="1" t="s">
        <v>49</v>
      </c>
      <c r="E390" s="1" t="s">
        <v>99</v>
      </c>
      <c r="F390" s="1">
        <v>19</v>
      </c>
      <c r="G390" s="5">
        <v>60.02</v>
      </c>
      <c r="H390" s="5">
        <v>1140.3800000000001</v>
      </c>
      <c r="I390" s="1" t="s">
        <v>54</v>
      </c>
      <c r="J390" s="1" t="s">
        <v>16</v>
      </c>
      <c r="K390" s="1">
        <v>2</v>
      </c>
    </row>
    <row r="391" spans="1:11" x14ac:dyDescent="0.35">
      <c r="A391" s="1" t="s">
        <v>449</v>
      </c>
      <c r="B391" s="2">
        <v>45586</v>
      </c>
      <c r="C391" s="1" t="s">
        <v>47</v>
      </c>
      <c r="D391" s="1" t="s">
        <v>39</v>
      </c>
      <c r="E391" s="1" t="s">
        <v>86</v>
      </c>
      <c r="F391" s="1">
        <v>14</v>
      </c>
      <c r="G391" s="5">
        <v>204.16</v>
      </c>
      <c r="H391" s="5">
        <v>2858.24</v>
      </c>
      <c r="I391" s="1" t="s">
        <v>29</v>
      </c>
      <c r="J391" s="1" t="s">
        <v>16</v>
      </c>
      <c r="K391" s="1">
        <v>4</v>
      </c>
    </row>
    <row r="392" spans="1:11" x14ac:dyDescent="0.35">
      <c r="A392" s="1" t="s">
        <v>450</v>
      </c>
      <c r="B392" s="2">
        <v>45609</v>
      </c>
      <c r="C392" s="1" t="s">
        <v>12</v>
      </c>
      <c r="D392" s="1" t="s">
        <v>39</v>
      </c>
      <c r="E392" s="1" t="s">
        <v>40</v>
      </c>
      <c r="F392" s="1">
        <v>11</v>
      </c>
      <c r="G392" s="5">
        <v>151.16999999999999</v>
      </c>
      <c r="H392" s="5">
        <v>1662.87</v>
      </c>
      <c r="I392" s="1" t="s">
        <v>41</v>
      </c>
      <c r="J392" s="1" t="s">
        <v>16</v>
      </c>
      <c r="K392" s="1">
        <v>4</v>
      </c>
    </row>
    <row r="393" spans="1:11" x14ac:dyDescent="0.35">
      <c r="A393" s="1" t="s">
        <v>451</v>
      </c>
      <c r="B393" s="2">
        <v>45420</v>
      </c>
      <c r="C393" s="1" t="s">
        <v>45</v>
      </c>
      <c r="D393" s="1" t="s">
        <v>13</v>
      </c>
      <c r="E393" s="1" t="s">
        <v>14</v>
      </c>
      <c r="F393" s="1">
        <v>8</v>
      </c>
      <c r="G393" s="5">
        <v>151.05000000000001</v>
      </c>
      <c r="H393" s="5">
        <v>1208.4000000000001</v>
      </c>
      <c r="I393" s="1" t="s">
        <v>59</v>
      </c>
      <c r="J393" s="1" t="s">
        <v>16</v>
      </c>
      <c r="K393" s="1">
        <v>2</v>
      </c>
    </row>
    <row r="394" spans="1:11" x14ac:dyDescent="0.35">
      <c r="A394" s="1" t="s">
        <v>452</v>
      </c>
      <c r="B394" s="2">
        <v>45445</v>
      </c>
      <c r="C394" s="1" t="s">
        <v>18</v>
      </c>
      <c r="D394" s="1" t="s">
        <v>39</v>
      </c>
      <c r="E394" s="1" t="s">
        <v>40</v>
      </c>
      <c r="F394" s="1">
        <v>11</v>
      </c>
      <c r="G394" s="5">
        <v>150.54</v>
      </c>
      <c r="H394" s="5">
        <v>1655.9399999999998</v>
      </c>
      <c r="I394" s="1" t="s">
        <v>15</v>
      </c>
      <c r="J394" s="1" t="s">
        <v>16</v>
      </c>
      <c r="K394" s="1">
        <v>2</v>
      </c>
    </row>
    <row r="395" spans="1:11" x14ac:dyDescent="0.35">
      <c r="A395" s="1" t="s">
        <v>453</v>
      </c>
      <c r="B395" s="2">
        <v>45451</v>
      </c>
      <c r="C395" s="1" t="s">
        <v>23</v>
      </c>
      <c r="D395" s="1" t="s">
        <v>19</v>
      </c>
      <c r="E395" s="1" t="s">
        <v>83</v>
      </c>
      <c r="F395" s="1">
        <v>18</v>
      </c>
      <c r="G395" s="5">
        <v>410.23</v>
      </c>
      <c r="H395" s="5">
        <v>7384.14</v>
      </c>
      <c r="I395" s="1" t="s">
        <v>15</v>
      </c>
      <c r="J395" s="1" t="s">
        <v>16</v>
      </c>
      <c r="K395" s="1">
        <v>2</v>
      </c>
    </row>
    <row r="396" spans="1:11" x14ac:dyDescent="0.35">
      <c r="A396" s="1" t="s">
        <v>454</v>
      </c>
      <c r="B396" s="2">
        <v>45593</v>
      </c>
      <c r="C396" s="1" t="s">
        <v>23</v>
      </c>
      <c r="D396" s="1" t="s">
        <v>13</v>
      </c>
      <c r="E396" s="1" t="s">
        <v>14</v>
      </c>
      <c r="F396" s="1">
        <v>6</v>
      </c>
      <c r="G396" s="5">
        <v>144.9</v>
      </c>
      <c r="H396" s="5">
        <v>869.40000000000009</v>
      </c>
      <c r="I396" s="1" t="s">
        <v>29</v>
      </c>
      <c r="J396" s="1" t="s">
        <v>16</v>
      </c>
      <c r="K396" s="1">
        <v>4</v>
      </c>
    </row>
    <row r="397" spans="1:11" x14ac:dyDescent="0.35">
      <c r="A397" s="1" t="s">
        <v>455</v>
      </c>
      <c r="B397" s="2">
        <v>45310</v>
      </c>
      <c r="C397" s="1" t="s">
        <v>18</v>
      </c>
      <c r="D397" s="1" t="s">
        <v>39</v>
      </c>
      <c r="E397" s="1" t="s">
        <v>58</v>
      </c>
      <c r="F397" s="1">
        <v>18</v>
      </c>
      <c r="G397" s="5">
        <v>101.06</v>
      </c>
      <c r="H397" s="5">
        <v>1819.08</v>
      </c>
      <c r="I397" s="1" t="s">
        <v>90</v>
      </c>
      <c r="J397" s="1" t="s">
        <v>16</v>
      </c>
      <c r="K397" s="1">
        <v>1</v>
      </c>
    </row>
    <row r="398" spans="1:11" x14ac:dyDescent="0.35">
      <c r="A398" s="1" t="s">
        <v>456</v>
      </c>
      <c r="B398" s="2">
        <v>45302</v>
      </c>
      <c r="C398" s="1" t="s">
        <v>47</v>
      </c>
      <c r="D398" s="1" t="s">
        <v>24</v>
      </c>
      <c r="E398" s="1" t="s">
        <v>93</v>
      </c>
      <c r="F398" s="1">
        <v>15</v>
      </c>
      <c r="G398" s="5">
        <v>45.32</v>
      </c>
      <c r="H398" s="5">
        <v>679.8</v>
      </c>
      <c r="I398" s="1" t="s">
        <v>90</v>
      </c>
      <c r="J398" s="1" t="s">
        <v>16</v>
      </c>
      <c r="K398" s="1">
        <v>1</v>
      </c>
    </row>
    <row r="399" spans="1:11" x14ac:dyDescent="0.35">
      <c r="A399" s="1" t="s">
        <v>457</v>
      </c>
      <c r="B399" s="2">
        <v>45633</v>
      </c>
      <c r="C399" s="1" t="s">
        <v>45</v>
      </c>
      <c r="D399" s="1" t="s">
        <v>24</v>
      </c>
      <c r="E399" s="1" t="s">
        <v>34</v>
      </c>
      <c r="F399" s="1">
        <v>14</v>
      </c>
      <c r="G399" s="5">
        <v>88.88</v>
      </c>
      <c r="H399" s="5">
        <v>1244.32</v>
      </c>
      <c r="I399" s="1" t="s">
        <v>21</v>
      </c>
      <c r="J399" s="1" t="s">
        <v>16</v>
      </c>
      <c r="K399" s="1">
        <v>4</v>
      </c>
    </row>
    <row r="400" spans="1:11" x14ac:dyDescent="0.35">
      <c r="A400" s="1" t="s">
        <v>458</v>
      </c>
      <c r="B400" s="2">
        <v>45333</v>
      </c>
      <c r="C400" s="1" t="s">
        <v>47</v>
      </c>
      <c r="D400" s="1" t="s">
        <v>24</v>
      </c>
      <c r="E400" s="1" t="s">
        <v>93</v>
      </c>
      <c r="F400" s="1">
        <v>13</v>
      </c>
      <c r="G400" s="5">
        <v>45.3</v>
      </c>
      <c r="H400" s="5">
        <v>588.9</v>
      </c>
      <c r="I400" s="1" t="s">
        <v>67</v>
      </c>
      <c r="J400" s="1" t="s">
        <v>16</v>
      </c>
      <c r="K400" s="1">
        <v>1</v>
      </c>
    </row>
    <row r="401" spans="1:11" x14ac:dyDescent="0.35">
      <c r="A401" s="1" t="s">
        <v>459</v>
      </c>
      <c r="B401" s="2">
        <v>45635</v>
      </c>
      <c r="C401" s="1" t="s">
        <v>45</v>
      </c>
      <c r="D401" s="1" t="s">
        <v>39</v>
      </c>
      <c r="E401" s="1" t="s">
        <v>40</v>
      </c>
      <c r="F401" s="1">
        <v>3</v>
      </c>
      <c r="G401" s="5">
        <v>162.76</v>
      </c>
      <c r="H401" s="5">
        <v>488.28</v>
      </c>
      <c r="I401" s="1" t="s">
        <v>21</v>
      </c>
      <c r="J401" s="1" t="s">
        <v>16</v>
      </c>
      <c r="K401" s="1">
        <v>4</v>
      </c>
    </row>
    <row r="402" spans="1:11" x14ac:dyDescent="0.35">
      <c r="A402" s="1" t="s">
        <v>460</v>
      </c>
      <c r="B402" s="2">
        <v>45639</v>
      </c>
      <c r="C402" s="1" t="s">
        <v>12</v>
      </c>
      <c r="D402" s="1" t="s">
        <v>39</v>
      </c>
      <c r="E402" s="1" t="s">
        <v>76</v>
      </c>
      <c r="F402" s="1">
        <v>15</v>
      </c>
      <c r="G402" s="5">
        <v>62.8</v>
      </c>
      <c r="H402" s="5">
        <v>942</v>
      </c>
      <c r="I402" s="1" t="s">
        <v>21</v>
      </c>
      <c r="J402" s="1" t="s">
        <v>16</v>
      </c>
      <c r="K402" s="1">
        <v>4</v>
      </c>
    </row>
    <row r="403" spans="1:11" x14ac:dyDescent="0.35">
      <c r="A403" s="1" t="s">
        <v>461</v>
      </c>
      <c r="B403" s="2">
        <v>45466</v>
      </c>
      <c r="C403" s="1" t="s">
        <v>23</v>
      </c>
      <c r="D403" s="1" t="s">
        <v>13</v>
      </c>
      <c r="E403" s="1" t="s">
        <v>36</v>
      </c>
      <c r="F403" s="1">
        <v>18</v>
      </c>
      <c r="G403" s="5">
        <v>17.13</v>
      </c>
      <c r="H403" s="5">
        <v>308.33999999999997</v>
      </c>
      <c r="I403" s="1" t="s">
        <v>15</v>
      </c>
      <c r="J403" s="1" t="s">
        <v>16</v>
      </c>
      <c r="K403" s="1">
        <v>2</v>
      </c>
    </row>
    <row r="404" spans="1:11" x14ac:dyDescent="0.35">
      <c r="A404" s="1" t="s">
        <v>462</v>
      </c>
      <c r="B404" s="2">
        <v>45447</v>
      </c>
      <c r="C404" s="1" t="s">
        <v>47</v>
      </c>
      <c r="D404" s="1" t="s">
        <v>19</v>
      </c>
      <c r="E404" s="1" t="s">
        <v>83</v>
      </c>
      <c r="F404" s="1">
        <v>18</v>
      </c>
      <c r="G404" s="5">
        <v>424.8</v>
      </c>
      <c r="H404" s="5">
        <v>7646.4000000000005</v>
      </c>
      <c r="I404" s="1" t="s">
        <v>15</v>
      </c>
      <c r="J404" s="1" t="s">
        <v>16</v>
      </c>
      <c r="K404" s="1">
        <v>2</v>
      </c>
    </row>
    <row r="405" spans="1:11" x14ac:dyDescent="0.35">
      <c r="A405" s="1" t="s">
        <v>463</v>
      </c>
      <c r="B405" s="2">
        <v>45405</v>
      </c>
      <c r="C405" s="1" t="s">
        <v>12</v>
      </c>
      <c r="D405" s="1" t="s">
        <v>39</v>
      </c>
      <c r="E405" s="1" t="s">
        <v>76</v>
      </c>
      <c r="F405" s="1">
        <v>5</v>
      </c>
      <c r="G405" s="5">
        <v>62.06</v>
      </c>
      <c r="H405" s="5">
        <v>310.3</v>
      </c>
      <c r="I405" s="1" t="s">
        <v>54</v>
      </c>
      <c r="J405" s="1" t="s">
        <v>16</v>
      </c>
      <c r="K405" s="1">
        <v>2</v>
      </c>
    </row>
    <row r="406" spans="1:11" x14ac:dyDescent="0.35">
      <c r="A406" s="1" t="s">
        <v>464</v>
      </c>
      <c r="B406" s="2">
        <v>45465</v>
      </c>
      <c r="C406" s="1" t="s">
        <v>47</v>
      </c>
      <c r="D406" s="1" t="s">
        <v>49</v>
      </c>
      <c r="E406" s="1" t="s">
        <v>50</v>
      </c>
      <c r="F406" s="1">
        <v>19</v>
      </c>
      <c r="G406" s="5">
        <v>18.399999999999999</v>
      </c>
      <c r="H406" s="5">
        <v>349.59999999999997</v>
      </c>
      <c r="I406" s="1" t="s">
        <v>15</v>
      </c>
      <c r="J406" s="1" t="s">
        <v>16</v>
      </c>
      <c r="K406" s="1">
        <v>2</v>
      </c>
    </row>
    <row r="407" spans="1:11" x14ac:dyDescent="0.35">
      <c r="A407" s="1" t="s">
        <v>465</v>
      </c>
      <c r="B407" s="2">
        <v>45483</v>
      </c>
      <c r="C407" s="1" t="s">
        <v>12</v>
      </c>
      <c r="D407" s="1" t="s">
        <v>49</v>
      </c>
      <c r="E407" s="1" t="s">
        <v>99</v>
      </c>
      <c r="F407" s="1">
        <v>13</v>
      </c>
      <c r="G407" s="5">
        <v>56.76</v>
      </c>
      <c r="H407" s="5">
        <v>737.88</v>
      </c>
      <c r="I407" s="1" t="s">
        <v>56</v>
      </c>
      <c r="J407" s="1" t="s">
        <v>16</v>
      </c>
      <c r="K407" s="1">
        <v>3</v>
      </c>
    </row>
    <row r="408" spans="1:11" x14ac:dyDescent="0.35">
      <c r="A408" s="1" t="s">
        <v>466</v>
      </c>
      <c r="B408" s="2">
        <v>45606</v>
      </c>
      <c r="C408" s="1" t="s">
        <v>45</v>
      </c>
      <c r="D408" s="1" t="s">
        <v>13</v>
      </c>
      <c r="E408" s="1" t="s">
        <v>119</v>
      </c>
      <c r="F408" s="1">
        <v>15</v>
      </c>
      <c r="G408" s="5">
        <v>242.5</v>
      </c>
      <c r="H408" s="5">
        <v>3637.5</v>
      </c>
      <c r="I408" s="1" t="s">
        <v>41</v>
      </c>
      <c r="J408" s="1" t="s">
        <v>16</v>
      </c>
      <c r="K408" s="1">
        <v>4</v>
      </c>
    </row>
    <row r="409" spans="1:11" x14ac:dyDescent="0.35">
      <c r="A409" s="1" t="s">
        <v>467</v>
      </c>
      <c r="B409" s="2">
        <v>45629</v>
      </c>
      <c r="C409" s="1" t="s">
        <v>47</v>
      </c>
      <c r="D409" s="1" t="s">
        <v>39</v>
      </c>
      <c r="E409" s="1" t="s">
        <v>58</v>
      </c>
      <c r="F409" s="1">
        <v>20</v>
      </c>
      <c r="G409" s="5">
        <v>99.03</v>
      </c>
      <c r="H409" s="5">
        <v>1980.6</v>
      </c>
      <c r="I409" s="1" t="s">
        <v>21</v>
      </c>
      <c r="J409" s="1" t="s">
        <v>16</v>
      </c>
      <c r="K409" s="1">
        <v>4</v>
      </c>
    </row>
    <row r="410" spans="1:11" x14ac:dyDescent="0.35">
      <c r="A410" s="1" t="s">
        <v>468</v>
      </c>
      <c r="B410" s="2">
        <v>45586</v>
      </c>
      <c r="C410" s="1" t="s">
        <v>45</v>
      </c>
      <c r="D410" s="1" t="s">
        <v>39</v>
      </c>
      <c r="E410" s="1" t="s">
        <v>40</v>
      </c>
      <c r="F410" s="1">
        <v>9</v>
      </c>
      <c r="G410" s="5">
        <v>159.80000000000001</v>
      </c>
      <c r="H410" s="5">
        <v>1438.2</v>
      </c>
      <c r="I410" s="1" t="s">
        <v>29</v>
      </c>
      <c r="J410" s="1" t="s">
        <v>16</v>
      </c>
      <c r="K410" s="1">
        <v>4</v>
      </c>
    </row>
    <row r="411" spans="1:11" x14ac:dyDescent="0.35">
      <c r="A411" s="1" t="s">
        <v>469</v>
      </c>
      <c r="B411" s="2">
        <v>45511</v>
      </c>
      <c r="C411" s="1" t="s">
        <v>23</v>
      </c>
      <c r="D411" s="1" t="s">
        <v>19</v>
      </c>
      <c r="E411" s="1" t="s">
        <v>31</v>
      </c>
      <c r="F411" s="1">
        <v>9</v>
      </c>
      <c r="G411" s="5">
        <v>574.63</v>
      </c>
      <c r="H411" s="5">
        <v>5171.67</v>
      </c>
      <c r="I411" s="1" t="s">
        <v>62</v>
      </c>
      <c r="J411" s="1" t="s">
        <v>16</v>
      </c>
      <c r="K411" s="1">
        <v>3</v>
      </c>
    </row>
    <row r="412" spans="1:11" x14ac:dyDescent="0.35">
      <c r="A412" s="1" t="s">
        <v>470</v>
      </c>
      <c r="B412" s="2">
        <v>45354</v>
      </c>
      <c r="C412" s="1" t="s">
        <v>23</v>
      </c>
      <c r="D412" s="1" t="s">
        <v>13</v>
      </c>
      <c r="E412" s="1" t="s">
        <v>119</v>
      </c>
      <c r="F412" s="1">
        <v>19</v>
      </c>
      <c r="G412" s="5">
        <v>258.06</v>
      </c>
      <c r="H412" s="5">
        <v>4903.1400000000003</v>
      </c>
      <c r="I412" s="1" t="s">
        <v>26</v>
      </c>
      <c r="J412" s="1" t="s">
        <v>16</v>
      </c>
      <c r="K412" s="1">
        <v>1</v>
      </c>
    </row>
    <row r="413" spans="1:11" x14ac:dyDescent="0.35">
      <c r="A413" s="1" t="s">
        <v>471</v>
      </c>
      <c r="B413" s="2">
        <v>45412</v>
      </c>
      <c r="C413" s="1" t="s">
        <v>47</v>
      </c>
      <c r="D413" s="1" t="s">
        <v>24</v>
      </c>
      <c r="E413" s="1" t="s">
        <v>73</v>
      </c>
      <c r="F413" s="1">
        <v>3</v>
      </c>
      <c r="G413" s="5">
        <v>140.1</v>
      </c>
      <c r="H413" s="5">
        <v>420.29999999999995</v>
      </c>
      <c r="I413" s="1" t="s">
        <v>54</v>
      </c>
      <c r="J413" s="1" t="s">
        <v>16</v>
      </c>
      <c r="K413" s="1">
        <v>2</v>
      </c>
    </row>
    <row r="414" spans="1:11" x14ac:dyDescent="0.35">
      <c r="A414" s="1" t="s">
        <v>472</v>
      </c>
      <c r="B414" s="2">
        <v>45639</v>
      </c>
      <c r="C414" s="1" t="s">
        <v>12</v>
      </c>
      <c r="D414" s="1" t="s">
        <v>13</v>
      </c>
      <c r="E414" s="1" t="s">
        <v>14</v>
      </c>
      <c r="F414" s="1">
        <v>2</v>
      </c>
      <c r="G414" s="5">
        <v>152.32</v>
      </c>
      <c r="H414" s="5">
        <v>304.64</v>
      </c>
      <c r="I414" s="1" t="s">
        <v>21</v>
      </c>
      <c r="J414" s="1" t="s">
        <v>16</v>
      </c>
      <c r="K414" s="1">
        <v>4</v>
      </c>
    </row>
    <row r="415" spans="1:11" x14ac:dyDescent="0.35">
      <c r="A415" s="1" t="s">
        <v>473</v>
      </c>
      <c r="B415" s="2">
        <v>45439</v>
      </c>
      <c r="C415" s="1" t="s">
        <v>45</v>
      </c>
      <c r="D415" s="1" t="s">
        <v>49</v>
      </c>
      <c r="E415" s="1" t="s">
        <v>52</v>
      </c>
      <c r="F415" s="1">
        <v>16</v>
      </c>
      <c r="G415" s="5">
        <v>25.06</v>
      </c>
      <c r="H415" s="5">
        <v>400.96</v>
      </c>
      <c r="I415" s="1" t="s">
        <v>59</v>
      </c>
      <c r="J415" s="1" t="s">
        <v>16</v>
      </c>
      <c r="K415" s="1">
        <v>2</v>
      </c>
    </row>
    <row r="416" spans="1:11" x14ac:dyDescent="0.35">
      <c r="A416" s="1" t="s">
        <v>474</v>
      </c>
      <c r="B416" s="2">
        <v>45643</v>
      </c>
      <c r="C416" s="1" t="s">
        <v>45</v>
      </c>
      <c r="D416" s="1" t="s">
        <v>24</v>
      </c>
      <c r="E416" s="1" t="s">
        <v>73</v>
      </c>
      <c r="F416" s="1">
        <v>9</v>
      </c>
      <c r="G416" s="5">
        <v>138.11000000000001</v>
      </c>
      <c r="H416" s="5">
        <v>1242.9900000000002</v>
      </c>
      <c r="I416" s="1" t="s">
        <v>21</v>
      </c>
      <c r="J416" s="1" t="s">
        <v>16</v>
      </c>
      <c r="K416" s="1">
        <v>4</v>
      </c>
    </row>
    <row r="417" spans="1:11" x14ac:dyDescent="0.35">
      <c r="A417" s="1" t="s">
        <v>475</v>
      </c>
      <c r="B417" s="2">
        <v>45379</v>
      </c>
      <c r="C417" s="1" t="s">
        <v>23</v>
      </c>
      <c r="D417" s="1" t="s">
        <v>24</v>
      </c>
      <c r="E417" s="1" t="s">
        <v>93</v>
      </c>
      <c r="F417" s="1">
        <v>4</v>
      </c>
      <c r="G417" s="5">
        <v>44.83</v>
      </c>
      <c r="H417" s="5">
        <v>179.32</v>
      </c>
      <c r="I417" s="1" t="s">
        <v>26</v>
      </c>
      <c r="J417" s="1" t="s">
        <v>16</v>
      </c>
      <c r="K417" s="1">
        <v>1</v>
      </c>
    </row>
    <row r="418" spans="1:11" x14ac:dyDescent="0.35">
      <c r="A418" s="1" t="s">
        <v>476</v>
      </c>
      <c r="B418" s="2">
        <v>45389</v>
      </c>
      <c r="C418" s="1" t="s">
        <v>23</v>
      </c>
      <c r="D418" s="1" t="s">
        <v>19</v>
      </c>
      <c r="E418" s="1" t="s">
        <v>83</v>
      </c>
      <c r="F418" s="1">
        <v>19</v>
      </c>
      <c r="G418" s="5">
        <v>423.08</v>
      </c>
      <c r="H418" s="5">
        <v>8038.5199999999995</v>
      </c>
      <c r="I418" s="1" t="s">
        <v>54</v>
      </c>
      <c r="J418" s="1" t="s">
        <v>16</v>
      </c>
      <c r="K418" s="1">
        <v>2</v>
      </c>
    </row>
    <row r="419" spans="1:11" x14ac:dyDescent="0.35">
      <c r="A419" s="1" t="s">
        <v>477</v>
      </c>
      <c r="B419" s="2">
        <v>45532</v>
      </c>
      <c r="C419" s="1" t="s">
        <v>23</v>
      </c>
      <c r="D419" s="1" t="s">
        <v>24</v>
      </c>
      <c r="E419" s="1" t="s">
        <v>34</v>
      </c>
      <c r="F419" s="1">
        <v>10</v>
      </c>
      <c r="G419" s="5">
        <v>93.99</v>
      </c>
      <c r="H419" s="5">
        <v>939.9</v>
      </c>
      <c r="I419" s="1" t="s">
        <v>62</v>
      </c>
      <c r="J419" s="1" t="s">
        <v>16</v>
      </c>
      <c r="K419" s="1">
        <v>3</v>
      </c>
    </row>
    <row r="420" spans="1:11" x14ac:dyDescent="0.35">
      <c r="A420" s="1" t="s">
        <v>478</v>
      </c>
      <c r="B420" s="2">
        <v>45622</v>
      </c>
      <c r="C420" s="1" t="s">
        <v>23</v>
      </c>
      <c r="D420" s="1" t="s">
        <v>24</v>
      </c>
      <c r="E420" s="1" t="s">
        <v>93</v>
      </c>
      <c r="F420" s="1">
        <v>9</v>
      </c>
      <c r="G420" s="5">
        <v>44.03</v>
      </c>
      <c r="H420" s="5">
        <v>396.27</v>
      </c>
      <c r="I420" s="1" t="s">
        <v>41</v>
      </c>
      <c r="J420" s="1" t="s">
        <v>16</v>
      </c>
      <c r="K420" s="1">
        <v>4</v>
      </c>
    </row>
    <row r="421" spans="1:11" x14ac:dyDescent="0.35">
      <c r="A421" s="1" t="s">
        <v>479</v>
      </c>
      <c r="B421" s="2">
        <v>45556</v>
      </c>
      <c r="C421" s="1" t="s">
        <v>23</v>
      </c>
      <c r="D421" s="1" t="s">
        <v>24</v>
      </c>
      <c r="E421" s="1" t="s">
        <v>43</v>
      </c>
      <c r="F421" s="1">
        <v>6</v>
      </c>
      <c r="G421" s="5">
        <v>75.83</v>
      </c>
      <c r="H421" s="5">
        <v>454.98</v>
      </c>
      <c r="I421" s="1" t="s">
        <v>37</v>
      </c>
      <c r="J421" s="1" t="s">
        <v>16</v>
      </c>
      <c r="K421" s="1">
        <v>3</v>
      </c>
    </row>
    <row r="422" spans="1:11" x14ac:dyDescent="0.35">
      <c r="A422" s="1" t="s">
        <v>480</v>
      </c>
      <c r="B422" s="2">
        <v>45600</v>
      </c>
      <c r="C422" s="1" t="s">
        <v>45</v>
      </c>
      <c r="D422" s="1" t="s">
        <v>49</v>
      </c>
      <c r="E422" s="1" t="s">
        <v>52</v>
      </c>
      <c r="F422" s="1">
        <v>6</v>
      </c>
      <c r="G422" s="5">
        <v>27.37</v>
      </c>
      <c r="H422" s="5">
        <v>164.22</v>
      </c>
      <c r="I422" s="1" t="s">
        <v>41</v>
      </c>
      <c r="J422" s="1" t="s">
        <v>16</v>
      </c>
      <c r="K422" s="1">
        <v>4</v>
      </c>
    </row>
    <row r="423" spans="1:11" x14ac:dyDescent="0.35">
      <c r="A423" s="1" t="s">
        <v>481</v>
      </c>
      <c r="B423" s="2">
        <v>45489</v>
      </c>
      <c r="C423" s="1" t="s">
        <v>23</v>
      </c>
      <c r="D423" s="1" t="s">
        <v>19</v>
      </c>
      <c r="E423" s="1" t="s">
        <v>28</v>
      </c>
      <c r="F423" s="1">
        <v>16</v>
      </c>
      <c r="G423" s="5">
        <v>29.15</v>
      </c>
      <c r="H423" s="5">
        <v>466.4</v>
      </c>
      <c r="I423" s="1" t="s">
        <v>56</v>
      </c>
      <c r="J423" s="1" t="s">
        <v>16</v>
      </c>
      <c r="K423" s="1">
        <v>3</v>
      </c>
    </row>
    <row r="424" spans="1:11" x14ac:dyDescent="0.35">
      <c r="A424" s="1" t="s">
        <v>482</v>
      </c>
      <c r="B424" s="2">
        <v>45522</v>
      </c>
      <c r="C424" s="1" t="s">
        <v>12</v>
      </c>
      <c r="D424" s="1" t="s">
        <v>39</v>
      </c>
      <c r="E424" s="1" t="s">
        <v>58</v>
      </c>
      <c r="F424" s="1">
        <v>14</v>
      </c>
      <c r="G424" s="5">
        <v>98.58</v>
      </c>
      <c r="H424" s="5">
        <v>1380.12</v>
      </c>
      <c r="I424" s="1" t="s">
        <v>62</v>
      </c>
      <c r="J424" s="1" t="s">
        <v>16</v>
      </c>
      <c r="K424" s="1">
        <v>3</v>
      </c>
    </row>
    <row r="425" spans="1:11" x14ac:dyDescent="0.35">
      <c r="A425" s="1" t="s">
        <v>483</v>
      </c>
      <c r="B425" s="2">
        <v>45519</v>
      </c>
      <c r="C425" s="1" t="s">
        <v>12</v>
      </c>
      <c r="D425" s="1" t="s">
        <v>19</v>
      </c>
      <c r="E425" s="1" t="s">
        <v>83</v>
      </c>
      <c r="F425" s="1">
        <v>19</v>
      </c>
      <c r="G425" s="5">
        <v>380.9</v>
      </c>
      <c r="H425" s="5">
        <v>7237.0999999999995</v>
      </c>
      <c r="I425" s="1" t="s">
        <v>62</v>
      </c>
      <c r="J425" s="1" t="s">
        <v>16</v>
      </c>
      <c r="K425" s="1">
        <v>3</v>
      </c>
    </row>
    <row r="426" spans="1:11" x14ac:dyDescent="0.35">
      <c r="A426" s="1" t="s">
        <v>484</v>
      </c>
      <c r="B426" s="2">
        <v>45468</v>
      </c>
      <c r="C426" s="1" t="s">
        <v>45</v>
      </c>
      <c r="D426" s="1" t="s">
        <v>24</v>
      </c>
      <c r="E426" s="1" t="s">
        <v>43</v>
      </c>
      <c r="F426" s="1">
        <v>11</v>
      </c>
      <c r="G426" s="5">
        <v>76.63</v>
      </c>
      <c r="H426" s="5">
        <v>842.93</v>
      </c>
      <c r="I426" s="1" t="s">
        <v>15</v>
      </c>
      <c r="J426" s="1" t="s">
        <v>16</v>
      </c>
      <c r="K426" s="1">
        <v>2</v>
      </c>
    </row>
    <row r="427" spans="1:11" x14ac:dyDescent="0.35">
      <c r="A427" s="1" t="s">
        <v>485</v>
      </c>
      <c r="B427" s="2">
        <v>45319</v>
      </c>
      <c r="C427" s="1" t="s">
        <v>47</v>
      </c>
      <c r="D427" s="1" t="s">
        <v>24</v>
      </c>
      <c r="E427" s="1" t="s">
        <v>93</v>
      </c>
      <c r="F427" s="1">
        <v>11</v>
      </c>
      <c r="G427" s="5">
        <v>48.15</v>
      </c>
      <c r="H427" s="5">
        <v>529.65</v>
      </c>
      <c r="I427" s="1" t="s">
        <v>90</v>
      </c>
      <c r="J427" s="1" t="s">
        <v>16</v>
      </c>
      <c r="K427" s="1">
        <v>1</v>
      </c>
    </row>
    <row r="428" spans="1:11" x14ac:dyDescent="0.35">
      <c r="A428" s="1" t="s">
        <v>486</v>
      </c>
      <c r="B428" s="2">
        <v>45373</v>
      </c>
      <c r="C428" s="1" t="s">
        <v>23</v>
      </c>
      <c r="D428" s="1" t="s">
        <v>13</v>
      </c>
      <c r="E428" s="1" t="s">
        <v>14</v>
      </c>
      <c r="F428" s="1">
        <v>15</v>
      </c>
      <c r="G428" s="5">
        <v>136.88</v>
      </c>
      <c r="H428" s="5">
        <v>2053.1999999999998</v>
      </c>
      <c r="I428" s="1" t="s">
        <v>26</v>
      </c>
      <c r="J428" s="1" t="s">
        <v>16</v>
      </c>
      <c r="K428" s="1">
        <v>1</v>
      </c>
    </row>
    <row r="429" spans="1:11" x14ac:dyDescent="0.35">
      <c r="A429" s="1" t="s">
        <v>487</v>
      </c>
      <c r="B429" s="2">
        <v>45305</v>
      </c>
      <c r="C429" s="1" t="s">
        <v>12</v>
      </c>
      <c r="D429" s="1" t="s">
        <v>24</v>
      </c>
      <c r="E429" s="1" t="s">
        <v>93</v>
      </c>
      <c r="F429" s="1">
        <v>17</v>
      </c>
      <c r="G429" s="5">
        <v>45.27</v>
      </c>
      <c r="H429" s="5">
        <v>769.59</v>
      </c>
      <c r="I429" s="1" t="s">
        <v>90</v>
      </c>
      <c r="J429" s="1" t="s">
        <v>16</v>
      </c>
      <c r="K429" s="1">
        <v>1</v>
      </c>
    </row>
    <row r="430" spans="1:11" x14ac:dyDescent="0.35">
      <c r="A430" s="1" t="s">
        <v>488</v>
      </c>
      <c r="B430" s="2">
        <v>45583</v>
      </c>
      <c r="C430" s="1" t="s">
        <v>45</v>
      </c>
      <c r="D430" s="1" t="s">
        <v>13</v>
      </c>
      <c r="E430" s="1" t="s">
        <v>101</v>
      </c>
      <c r="F430" s="1">
        <v>2</v>
      </c>
      <c r="G430" s="5">
        <v>51.1</v>
      </c>
      <c r="H430" s="5">
        <v>102.2</v>
      </c>
      <c r="I430" s="1" t="s">
        <v>29</v>
      </c>
      <c r="J430" s="1" t="s">
        <v>16</v>
      </c>
      <c r="K430" s="1">
        <v>4</v>
      </c>
    </row>
    <row r="431" spans="1:11" x14ac:dyDescent="0.35">
      <c r="A431" s="1" t="s">
        <v>489</v>
      </c>
      <c r="B431" s="2">
        <v>45401</v>
      </c>
      <c r="C431" s="1" t="s">
        <v>45</v>
      </c>
      <c r="D431" s="1" t="s">
        <v>39</v>
      </c>
      <c r="E431" s="1" t="s">
        <v>76</v>
      </c>
      <c r="F431" s="1">
        <v>15</v>
      </c>
      <c r="G431" s="5">
        <v>63.87</v>
      </c>
      <c r="H431" s="5">
        <v>958.05</v>
      </c>
      <c r="I431" s="1" t="s">
        <v>54</v>
      </c>
      <c r="J431" s="1" t="s">
        <v>16</v>
      </c>
      <c r="K431" s="1">
        <v>2</v>
      </c>
    </row>
    <row r="432" spans="1:11" x14ac:dyDescent="0.35">
      <c r="A432" s="1" t="s">
        <v>490</v>
      </c>
      <c r="B432" s="2">
        <v>45618</v>
      </c>
      <c r="C432" s="1" t="s">
        <v>23</v>
      </c>
      <c r="D432" s="1" t="s">
        <v>13</v>
      </c>
      <c r="E432" s="1" t="s">
        <v>101</v>
      </c>
      <c r="F432" s="1">
        <v>7</v>
      </c>
      <c r="G432" s="5">
        <v>51.36</v>
      </c>
      <c r="H432" s="5">
        <v>359.52</v>
      </c>
      <c r="I432" s="1" t="s">
        <v>41</v>
      </c>
      <c r="J432" s="1" t="s">
        <v>16</v>
      </c>
      <c r="K432" s="1">
        <v>4</v>
      </c>
    </row>
    <row r="433" spans="1:11" x14ac:dyDescent="0.35">
      <c r="A433" s="1" t="s">
        <v>491</v>
      </c>
      <c r="B433" s="2">
        <v>45502</v>
      </c>
      <c r="C433" s="1" t="s">
        <v>18</v>
      </c>
      <c r="D433" s="1" t="s">
        <v>49</v>
      </c>
      <c r="E433" s="1" t="s">
        <v>50</v>
      </c>
      <c r="F433" s="1">
        <v>3</v>
      </c>
      <c r="G433" s="5">
        <v>18.850000000000001</v>
      </c>
      <c r="H433" s="5">
        <v>56.550000000000004</v>
      </c>
      <c r="I433" s="1" t="s">
        <v>56</v>
      </c>
      <c r="J433" s="1" t="s">
        <v>16</v>
      </c>
      <c r="K433" s="1">
        <v>3</v>
      </c>
    </row>
    <row r="434" spans="1:11" x14ac:dyDescent="0.35">
      <c r="A434" s="1" t="s">
        <v>492</v>
      </c>
      <c r="B434" s="2">
        <v>45652</v>
      </c>
      <c r="C434" s="1" t="s">
        <v>47</v>
      </c>
      <c r="D434" s="1" t="s">
        <v>24</v>
      </c>
      <c r="E434" s="1" t="s">
        <v>73</v>
      </c>
      <c r="F434" s="1">
        <v>8</v>
      </c>
      <c r="G434" s="5">
        <v>137.51</v>
      </c>
      <c r="H434" s="5">
        <v>1100.08</v>
      </c>
      <c r="I434" s="1" t="s">
        <v>21</v>
      </c>
      <c r="J434" s="1" t="s">
        <v>16</v>
      </c>
      <c r="K434" s="1">
        <v>4</v>
      </c>
    </row>
    <row r="435" spans="1:11" x14ac:dyDescent="0.35">
      <c r="A435" s="1" t="s">
        <v>493</v>
      </c>
      <c r="B435" s="2">
        <v>45636</v>
      </c>
      <c r="C435" s="1" t="s">
        <v>47</v>
      </c>
      <c r="D435" s="1" t="s">
        <v>19</v>
      </c>
      <c r="E435" s="1" t="s">
        <v>31</v>
      </c>
      <c r="F435" s="1">
        <v>17</v>
      </c>
      <c r="G435" s="5">
        <v>602.37</v>
      </c>
      <c r="H435" s="5">
        <v>10240.290000000001</v>
      </c>
      <c r="I435" s="1" t="s">
        <v>21</v>
      </c>
      <c r="J435" s="1" t="s">
        <v>16</v>
      </c>
      <c r="K435" s="1">
        <v>4</v>
      </c>
    </row>
    <row r="436" spans="1:11" x14ac:dyDescent="0.35">
      <c r="A436" s="1" t="s">
        <v>494</v>
      </c>
      <c r="B436" s="2">
        <v>45541</v>
      </c>
      <c r="C436" s="1" t="s">
        <v>18</v>
      </c>
      <c r="D436" s="1" t="s">
        <v>24</v>
      </c>
      <c r="E436" s="1" t="s">
        <v>34</v>
      </c>
      <c r="F436" s="1">
        <v>20</v>
      </c>
      <c r="G436" s="5">
        <v>85.64</v>
      </c>
      <c r="H436" s="5">
        <v>1712.8</v>
      </c>
      <c r="I436" s="1" t="s">
        <v>37</v>
      </c>
      <c r="J436" s="1" t="s">
        <v>16</v>
      </c>
      <c r="K436" s="1">
        <v>3</v>
      </c>
    </row>
    <row r="437" spans="1:11" x14ac:dyDescent="0.35">
      <c r="A437" s="1" t="s">
        <v>495</v>
      </c>
      <c r="B437" s="2">
        <v>45647</v>
      </c>
      <c r="C437" s="1" t="s">
        <v>18</v>
      </c>
      <c r="D437" s="1" t="s">
        <v>39</v>
      </c>
      <c r="E437" s="1" t="s">
        <v>86</v>
      </c>
      <c r="F437" s="1">
        <v>19</v>
      </c>
      <c r="G437" s="5">
        <v>213.36</v>
      </c>
      <c r="H437" s="5">
        <v>4053.84</v>
      </c>
      <c r="I437" s="1" t="s">
        <v>21</v>
      </c>
      <c r="J437" s="1" t="s">
        <v>16</v>
      </c>
      <c r="K437" s="1">
        <v>4</v>
      </c>
    </row>
    <row r="438" spans="1:11" x14ac:dyDescent="0.35">
      <c r="A438" s="1" t="s">
        <v>496</v>
      </c>
      <c r="B438" s="2">
        <v>45614</v>
      </c>
      <c r="C438" s="1" t="s">
        <v>47</v>
      </c>
      <c r="D438" s="1" t="s">
        <v>39</v>
      </c>
      <c r="E438" s="1" t="s">
        <v>40</v>
      </c>
      <c r="F438" s="1">
        <v>4</v>
      </c>
      <c r="G438" s="5">
        <v>156.36000000000001</v>
      </c>
      <c r="H438" s="5">
        <v>625.44000000000005</v>
      </c>
      <c r="I438" s="1" t="s">
        <v>41</v>
      </c>
      <c r="J438" s="1" t="s">
        <v>16</v>
      </c>
      <c r="K438" s="1">
        <v>4</v>
      </c>
    </row>
    <row r="439" spans="1:11" x14ac:dyDescent="0.35">
      <c r="A439" s="1" t="s">
        <v>497</v>
      </c>
      <c r="B439" s="2">
        <v>45389</v>
      </c>
      <c r="C439" s="1" t="s">
        <v>12</v>
      </c>
      <c r="D439" s="1" t="s">
        <v>19</v>
      </c>
      <c r="E439" s="1" t="s">
        <v>31</v>
      </c>
      <c r="F439" s="1">
        <v>8</v>
      </c>
      <c r="G439" s="5">
        <v>593.41999999999996</v>
      </c>
      <c r="H439" s="5">
        <v>4747.3599999999997</v>
      </c>
      <c r="I439" s="1" t="s">
        <v>54</v>
      </c>
      <c r="J439" s="1" t="s">
        <v>16</v>
      </c>
      <c r="K439" s="1">
        <v>2</v>
      </c>
    </row>
    <row r="440" spans="1:11" x14ac:dyDescent="0.35">
      <c r="A440" s="1" t="s">
        <v>498</v>
      </c>
      <c r="B440" s="2">
        <v>45502</v>
      </c>
      <c r="C440" s="1" t="s">
        <v>47</v>
      </c>
      <c r="D440" s="1" t="s">
        <v>19</v>
      </c>
      <c r="E440" s="1" t="s">
        <v>83</v>
      </c>
      <c r="F440" s="1">
        <v>5</v>
      </c>
      <c r="G440" s="5">
        <v>413.37</v>
      </c>
      <c r="H440" s="5">
        <v>2066.85</v>
      </c>
      <c r="I440" s="1" t="s">
        <v>56</v>
      </c>
      <c r="J440" s="1" t="s">
        <v>16</v>
      </c>
      <c r="K440" s="1">
        <v>3</v>
      </c>
    </row>
    <row r="441" spans="1:11" x14ac:dyDescent="0.35">
      <c r="A441" s="1" t="s">
        <v>499</v>
      </c>
      <c r="B441" s="2">
        <v>45451</v>
      </c>
      <c r="C441" s="1" t="s">
        <v>47</v>
      </c>
      <c r="D441" s="1" t="s">
        <v>13</v>
      </c>
      <c r="E441" s="1" t="s">
        <v>64</v>
      </c>
      <c r="F441" s="1">
        <v>10</v>
      </c>
      <c r="G441" s="5">
        <v>185.51</v>
      </c>
      <c r="H441" s="5">
        <v>1855.1</v>
      </c>
      <c r="I441" s="1" t="s">
        <v>15</v>
      </c>
      <c r="J441" s="1" t="s">
        <v>16</v>
      </c>
      <c r="K441" s="1">
        <v>2</v>
      </c>
    </row>
    <row r="442" spans="1:11" x14ac:dyDescent="0.35">
      <c r="A442" s="1" t="s">
        <v>500</v>
      </c>
      <c r="B442" s="2">
        <v>45600</v>
      </c>
      <c r="C442" s="1" t="s">
        <v>47</v>
      </c>
      <c r="D442" s="1" t="s">
        <v>19</v>
      </c>
      <c r="E442" s="1" t="s">
        <v>28</v>
      </c>
      <c r="F442" s="1">
        <v>11</v>
      </c>
      <c r="G442" s="5">
        <v>30.68</v>
      </c>
      <c r="H442" s="5">
        <v>337.48</v>
      </c>
      <c r="I442" s="1" t="s">
        <v>41</v>
      </c>
      <c r="J442" s="1" t="s">
        <v>16</v>
      </c>
      <c r="K442" s="1">
        <v>4</v>
      </c>
    </row>
    <row r="443" spans="1:11" x14ac:dyDescent="0.35">
      <c r="A443" s="1" t="s">
        <v>501</v>
      </c>
      <c r="B443" s="2">
        <v>45646</v>
      </c>
      <c r="C443" s="1" t="s">
        <v>45</v>
      </c>
      <c r="D443" s="1" t="s">
        <v>24</v>
      </c>
      <c r="E443" s="1" t="s">
        <v>73</v>
      </c>
      <c r="F443" s="1">
        <v>4</v>
      </c>
      <c r="G443" s="5">
        <v>131.56</v>
      </c>
      <c r="H443" s="5">
        <v>526.24</v>
      </c>
      <c r="I443" s="1" t="s">
        <v>21</v>
      </c>
      <c r="J443" s="1" t="s">
        <v>16</v>
      </c>
      <c r="K443" s="1">
        <v>4</v>
      </c>
    </row>
    <row r="444" spans="1:11" x14ac:dyDescent="0.35">
      <c r="A444" s="1" t="s">
        <v>502</v>
      </c>
      <c r="B444" s="2">
        <v>45352</v>
      </c>
      <c r="C444" s="1" t="s">
        <v>45</v>
      </c>
      <c r="D444" s="1" t="s">
        <v>13</v>
      </c>
      <c r="E444" s="1" t="s">
        <v>14</v>
      </c>
      <c r="F444" s="1">
        <v>17</v>
      </c>
      <c r="G444" s="5">
        <v>134.71</v>
      </c>
      <c r="H444" s="5">
        <v>2290.0700000000002</v>
      </c>
      <c r="I444" s="1" t="s">
        <v>26</v>
      </c>
      <c r="J444" s="1" t="s">
        <v>16</v>
      </c>
      <c r="K444" s="1">
        <v>1</v>
      </c>
    </row>
    <row r="445" spans="1:11" x14ac:dyDescent="0.35">
      <c r="A445" s="1" t="s">
        <v>503</v>
      </c>
      <c r="B445" s="2">
        <v>45608</v>
      </c>
      <c r="C445" s="1" t="s">
        <v>18</v>
      </c>
      <c r="D445" s="1" t="s">
        <v>49</v>
      </c>
      <c r="E445" s="1" t="s">
        <v>115</v>
      </c>
      <c r="F445" s="1">
        <v>1</v>
      </c>
      <c r="G445" s="5">
        <v>21.28</v>
      </c>
      <c r="H445" s="5">
        <v>21.28</v>
      </c>
      <c r="I445" s="1" t="s">
        <v>41</v>
      </c>
      <c r="J445" s="1" t="s">
        <v>16</v>
      </c>
      <c r="K445" s="1">
        <v>4</v>
      </c>
    </row>
    <row r="446" spans="1:11" x14ac:dyDescent="0.35">
      <c r="A446" s="1" t="s">
        <v>504</v>
      </c>
      <c r="B446" s="2">
        <v>45602</v>
      </c>
      <c r="C446" s="1" t="s">
        <v>47</v>
      </c>
      <c r="D446" s="1" t="s">
        <v>19</v>
      </c>
      <c r="E446" s="1" t="s">
        <v>28</v>
      </c>
      <c r="F446" s="1">
        <v>20</v>
      </c>
      <c r="G446" s="5">
        <v>30.16</v>
      </c>
      <c r="H446" s="5">
        <v>603.20000000000005</v>
      </c>
      <c r="I446" s="1" t="s">
        <v>41</v>
      </c>
      <c r="J446" s="1" t="s">
        <v>16</v>
      </c>
      <c r="K446" s="1">
        <v>4</v>
      </c>
    </row>
    <row r="447" spans="1:11" x14ac:dyDescent="0.35">
      <c r="A447" s="1" t="s">
        <v>505</v>
      </c>
      <c r="B447" s="2">
        <v>45537</v>
      </c>
      <c r="C447" s="1" t="s">
        <v>18</v>
      </c>
      <c r="D447" s="1" t="s">
        <v>49</v>
      </c>
      <c r="E447" s="1" t="s">
        <v>99</v>
      </c>
      <c r="F447" s="1">
        <v>19</v>
      </c>
      <c r="G447" s="5">
        <v>56.7</v>
      </c>
      <c r="H447" s="5">
        <v>1077.3</v>
      </c>
      <c r="I447" s="1" t="s">
        <v>37</v>
      </c>
      <c r="J447" s="1" t="s">
        <v>16</v>
      </c>
      <c r="K447" s="1">
        <v>3</v>
      </c>
    </row>
    <row r="448" spans="1:11" x14ac:dyDescent="0.35">
      <c r="A448" s="1" t="s">
        <v>506</v>
      </c>
      <c r="B448" s="2">
        <v>45516</v>
      </c>
      <c r="C448" s="1" t="s">
        <v>47</v>
      </c>
      <c r="D448" s="1" t="s">
        <v>19</v>
      </c>
      <c r="E448" s="1" t="s">
        <v>83</v>
      </c>
      <c r="F448" s="1">
        <v>8</v>
      </c>
      <c r="G448" s="5">
        <v>425.64</v>
      </c>
      <c r="H448" s="5">
        <v>3405.12</v>
      </c>
      <c r="I448" s="1" t="s">
        <v>62</v>
      </c>
      <c r="J448" s="1" t="s">
        <v>16</v>
      </c>
      <c r="K448" s="1">
        <v>3</v>
      </c>
    </row>
    <row r="449" spans="1:11" x14ac:dyDescent="0.35">
      <c r="A449" s="1" t="s">
        <v>507</v>
      </c>
      <c r="B449" s="2">
        <v>45469</v>
      </c>
      <c r="C449" s="1" t="s">
        <v>12</v>
      </c>
      <c r="D449" s="1" t="s">
        <v>19</v>
      </c>
      <c r="E449" s="1" t="s">
        <v>20</v>
      </c>
      <c r="F449" s="1">
        <v>20</v>
      </c>
      <c r="G449" s="5">
        <v>85.28</v>
      </c>
      <c r="H449" s="5">
        <v>1705.6</v>
      </c>
      <c r="I449" s="1" t="s">
        <v>15</v>
      </c>
      <c r="J449" s="1" t="s">
        <v>16</v>
      </c>
      <c r="K449" s="1">
        <v>2</v>
      </c>
    </row>
    <row r="450" spans="1:11" x14ac:dyDescent="0.35">
      <c r="A450" s="1" t="s">
        <v>508</v>
      </c>
      <c r="B450" s="2">
        <v>45396</v>
      </c>
      <c r="C450" s="1" t="s">
        <v>23</v>
      </c>
      <c r="D450" s="1" t="s">
        <v>19</v>
      </c>
      <c r="E450" s="1" t="s">
        <v>61</v>
      </c>
      <c r="F450" s="1">
        <v>13</v>
      </c>
      <c r="G450" s="5">
        <v>66.900000000000006</v>
      </c>
      <c r="H450" s="5">
        <v>869.7</v>
      </c>
      <c r="I450" s="1" t="s">
        <v>54</v>
      </c>
      <c r="J450" s="1" t="s">
        <v>16</v>
      </c>
      <c r="K450" s="1">
        <v>2</v>
      </c>
    </row>
    <row r="451" spans="1:11" x14ac:dyDescent="0.35">
      <c r="A451" s="1" t="s">
        <v>509</v>
      </c>
      <c r="B451" s="2">
        <v>45524</v>
      </c>
      <c r="C451" s="1" t="s">
        <v>23</v>
      </c>
      <c r="D451" s="1" t="s">
        <v>13</v>
      </c>
      <c r="E451" s="1" t="s">
        <v>101</v>
      </c>
      <c r="F451" s="1">
        <v>20</v>
      </c>
      <c r="G451" s="5">
        <v>50.03</v>
      </c>
      <c r="H451" s="5">
        <v>1000.6</v>
      </c>
      <c r="I451" s="1" t="s">
        <v>62</v>
      </c>
      <c r="J451" s="1" t="s">
        <v>16</v>
      </c>
      <c r="K451" s="1">
        <v>3</v>
      </c>
    </row>
    <row r="452" spans="1:11" x14ac:dyDescent="0.35">
      <c r="A452" s="1" t="s">
        <v>510</v>
      </c>
      <c r="B452" s="2">
        <v>45427</v>
      </c>
      <c r="C452" s="1" t="s">
        <v>47</v>
      </c>
      <c r="D452" s="1" t="s">
        <v>24</v>
      </c>
      <c r="E452" s="1" t="s">
        <v>43</v>
      </c>
      <c r="F452" s="1">
        <v>14</v>
      </c>
      <c r="G452" s="5">
        <v>79.150000000000006</v>
      </c>
      <c r="H452" s="5">
        <v>1108.1000000000001</v>
      </c>
      <c r="I452" s="1" t="s">
        <v>59</v>
      </c>
      <c r="J452" s="1" t="s">
        <v>16</v>
      </c>
      <c r="K452" s="1">
        <v>2</v>
      </c>
    </row>
    <row r="453" spans="1:11" x14ac:dyDescent="0.35">
      <c r="A453" s="1" t="s">
        <v>511</v>
      </c>
      <c r="B453" s="2">
        <v>45300</v>
      </c>
      <c r="C453" s="1" t="s">
        <v>23</v>
      </c>
      <c r="D453" s="1" t="s">
        <v>39</v>
      </c>
      <c r="E453" s="1" t="s">
        <v>110</v>
      </c>
      <c r="F453" s="1">
        <v>14</v>
      </c>
      <c r="G453" s="5">
        <v>310.23</v>
      </c>
      <c r="H453" s="5">
        <v>4343.22</v>
      </c>
      <c r="I453" s="1" t="s">
        <v>90</v>
      </c>
      <c r="J453" s="1" t="s">
        <v>16</v>
      </c>
      <c r="K453" s="1">
        <v>1</v>
      </c>
    </row>
    <row r="454" spans="1:11" x14ac:dyDescent="0.35">
      <c r="A454" s="1" t="s">
        <v>512</v>
      </c>
      <c r="B454" s="2">
        <v>45522</v>
      </c>
      <c r="C454" s="1" t="s">
        <v>12</v>
      </c>
      <c r="D454" s="1" t="s">
        <v>19</v>
      </c>
      <c r="E454" s="1" t="s">
        <v>31</v>
      </c>
      <c r="F454" s="1">
        <v>1</v>
      </c>
      <c r="G454" s="5">
        <v>531.85</v>
      </c>
      <c r="H454" s="5">
        <v>531.85</v>
      </c>
      <c r="I454" s="1" t="s">
        <v>62</v>
      </c>
      <c r="J454" s="1" t="s">
        <v>16</v>
      </c>
      <c r="K454" s="1">
        <v>3</v>
      </c>
    </row>
    <row r="455" spans="1:11" x14ac:dyDescent="0.35">
      <c r="A455" s="1" t="s">
        <v>513</v>
      </c>
      <c r="B455" s="2">
        <v>45600</v>
      </c>
      <c r="C455" s="1" t="s">
        <v>45</v>
      </c>
      <c r="D455" s="1" t="s">
        <v>19</v>
      </c>
      <c r="E455" s="1" t="s">
        <v>61</v>
      </c>
      <c r="F455" s="1">
        <v>15</v>
      </c>
      <c r="G455" s="5">
        <v>67.39</v>
      </c>
      <c r="H455" s="5">
        <v>1010.85</v>
      </c>
      <c r="I455" s="1" t="s">
        <v>41</v>
      </c>
      <c r="J455" s="1" t="s">
        <v>16</v>
      </c>
      <c r="K455" s="1">
        <v>4</v>
      </c>
    </row>
    <row r="456" spans="1:11" x14ac:dyDescent="0.35">
      <c r="A456" s="1" t="s">
        <v>514</v>
      </c>
      <c r="B456" s="2">
        <v>45382</v>
      </c>
      <c r="C456" s="1" t="s">
        <v>23</v>
      </c>
      <c r="D456" s="1" t="s">
        <v>24</v>
      </c>
      <c r="E456" s="1" t="s">
        <v>70</v>
      </c>
      <c r="F456" s="1">
        <v>15</v>
      </c>
      <c r="G456" s="5">
        <v>1188.24</v>
      </c>
      <c r="H456" s="5">
        <v>17823.599999999999</v>
      </c>
      <c r="I456" s="1" t="s">
        <v>26</v>
      </c>
      <c r="J456" s="1" t="s">
        <v>16</v>
      </c>
      <c r="K456" s="1">
        <v>1</v>
      </c>
    </row>
    <row r="457" spans="1:11" x14ac:dyDescent="0.35">
      <c r="A457" s="1" t="s">
        <v>515</v>
      </c>
      <c r="B457" s="2">
        <v>45461</v>
      </c>
      <c r="C457" s="1" t="s">
        <v>47</v>
      </c>
      <c r="D457" s="1" t="s">
        <v>13</v>
      </c>
      <c r="E457" s="1" t="s">
        <v>119</v>
      </c>
      <c r="F457" s="1">
        <v>9</v>
      </c>
      <c r="G457" s="5">
        <v>261.54000000000002</v>
      </c>
      <c r="H457" s="5">
        <v>2353.86</v>
      </c>
      <c r="I457" s="1" t="s">
        <v>15</v>
      </c>
      <c r="J457" s="1" t="s">
        <v>16</v>
      </c>
      <c r="K457" s="1">
        <v>2</v>
      </c>
    </row>
    <row r="458" spans="1:11" x14ac:dyDescent="0.35">
      <c r="A458" s="1" t="s">
        <v>516</v>
      </c>
      <c r="B458" s="2">
        <v>45465</v>
      </c>
      <c r="C458" s="1" t="s">
        <v>47</v>
      </c>
      <c r="D458" s="1" t="s">
        <v>24</v>
      </c>
      <c r="E458" s="1" t="s">
        <v>25</v>
      </c>
      <c r="F458" s="1">
        <v>5</v>
      </c>
      <c r="G458" s="5">
        <v>262.74</v>
      </c>
      <c r="H458" s="5">
        <v>1313.7</v>
      </c>
      <c r="I458" s="1" t="s">
        <v>15</v>
      </c>
      <c r="J458" s="1" t="s">
        <v>16</v>
      </c>
      <c r="K458" s="1">
        <v>2</v>
      </c>
    </row>
    <row r="459" spans="1:11" x14ac:dyDescent="0.35">
      <c r="A459" s="1" t="s">
        <v>517</v>
      </c>
      <c r="B459" s="2">
        <v>45320</v>
      </c>
      <c r="C459" s="1" t="s">
        <v>45</v>
      </c>
      <c r="D459" s="1" t="s">
        <v>13</v>
      </c>
      <c r="E459" s="1" t="s">
        <v>14</v>
      </c>
      <c r="F459" s="1">
        <v>12</v>
      </c>
      <c r="G459" s="5">
        <v>151.55000000000001</v>
      </c>
      <c r="H459" s="5">
        <v>1818.6000000000001</v>
      </c>
      <c r="I459" s="1" t="s">
        <v>90</v>
      </c>
      <c r="J459" s="1" t="s">
        <v>16</v>
      </c>
      <c r="K459" s="1">
        <v>1</v>
      </c>
    </row>
    <row r="460" spans="1:11" x14ac:dyDescent="0.35">
      <c r="A460" s="1" t="s">
        <v>518</v>
      </c>
      <c r="B460" s="2">
        <v>45560</v>
      </c>
      <c r="C460" s="1" t="s">
        <v>47</v>
      </c>
      <c r="D460" s="1" t="s">
        <v>39</v>
      </c>
      <c r="E460" s="1" t="s">
        <v>58</v>
      </c>
      <c r="F460" s="1">
        <v>3</v>
      </c>
      <c r="G460" s="5">
        <v>101.42</v>
      </c>
      <c r="H460" s="5">
        <v>304.26</v>
      </c>
      <c r="I460" s="1" t="s">
        <v>37</v>
      </c>
      <c r="J460" s="1" t="s">
        <v>16</v>
      </c>
      <c r="K460" s="1">
        <v>3</v>
      </c>
    </row>
    <row r="461" spans="1:11" x14ac:dyDescent="0.35">
      <c r="A461" s="1" t="s">
        <v>519</v>
      </c>
      <c r="B461" s="2">
        <v>45437</v>
      </c>
      <c r="C461" s="1" t="s">
        <v>18</v>
      </c>
      <c r="D461" s="1" t="s">
        <v>13</v>
      </c>
      <c r="E461" s="1" t="s">
        <v>36</v>
      </c>
      <c r="F461" s="1">
        <v>12</v>
      </c>
      <c r="G461" s="5">
        <v>19.7</v>
      </c>
      <c r="H461" s="5">
        <v>236.39999999999998</v>
      </c>
      <c r="I461" s="1" t="s">
        <v>59</v>
      </c>
      <c r="J461" s="1" t="s">
        <v>16</v>
      </c>
      <c r="K461" s="1">
        <v>2</v>
      </c>
    </row>
    <row r="462" spans="1:11" x14ac:dyDescent="0.35">
      <c r="A462" s="1" t="s">
        <v>520</v>
      </c>
      <c r="B462" s="2">
        <v>45416</v>
      </c>
      <c r="C462" s="1" t="s">
        <v>47</v>
      </c>
      <c r="D462" s="1" t="s">
        <v>39</v>
      </c>
      <c r="E462" s="1" t="s">
        <v>40</v>
      </c>
      <c r="F462" s="1">
        <v>4</v>
      </c>
      <c r="G462" s="5">
        <v>150.16999999999999</v>
      </c>
      <c r="H462" s="5">
        <v>600.67999999999995</v>
      </c>
      <c r="I462" s="1" t="s">
        <v>59</v>
      </c>
      <c r="J462" s="1" t="s">
        <v>16</v>
      </c>
      <c r="K462" s="1">
        <v>2</v>
      </c>
    </row>
    <row r="463" spans="1:11" x14ac:dyDescent="0.35">
      <c r="A463" s="1" t="s">
        <v>521</v>
      </c>
      <c r="B463" s="2">
        <v>45645</v>
      </c>
      <c r="C463" s="1" t="s">
        <v>47</v>
      </c>
      <c r="D463" s="1" t="s">
        <v>39</v>
      </c>
      <c r="E463" s="1" t="s">
        <v>86</v>
      </c>
      <c r="F463" s="1">
        <v>17</v>
      </c>
      <c r="G463" s="5">
        <v>207.17</v>
      </c>
      <c r="H463" s="5">
        <v>3521.89</v>
      </c>
      <c r="I463" s="1" t="s">
        <v>21</v>
      </c>
      <c r="J463" s="1" t="s">
        <v>16</v>
      </c>
      <c r="K463" s="1">
        <v>4</v>
      </c>
    </row>
    <row r="464" spans="1:11" x14ac:dyDescent="0.35">
      <c r="A464" s="1" t="s">
        <v>522</v>
      </c>
      <c r="B464" s="2">
        <v>45432</v>
      </c>
      <c r="C464" s="1" t="s">
        <v>23</v>
      </c>
      <c r="D464" s="1" t="s">
        <v>49</v>
      </c>
      <c r="E464" s="1" t="s">
        <v>115</v>
      </c>
      <c r="F464" s="1">
        <v>13</v>
      </c>
      <c r="G464" s="5">
        <v>23</v>
      </c>
      <c r="H464" s="5">
        <v>299</v>
      </c>
      <c r="I464" s="1" t="s">
        <v>59</v>
      </c>
      <c r="J464" s="1" t="s">
        <v>16</v>
      </c>
      <c r="K464" s="1">
        <v>2</v>
      </c>
    </row>
    <row r="465" spans="1:11" x14ac:dyDescent="0.35">
      <c r="A465" s="1" t="s">
        <v>523</v>
      </c>
      <c r="B465" s="2">
        <v>45468</v>
      </c>
      <c r="C465" s="1" t="s">
        <v>12</v>
      </c>
      <c r="D465" s="1" t="s">
        <v>39</v>
      </c>
      <c r="E465" s="1" t="s">
        <v>40</v>
      </c>
      <c r="F465" s="1">
        <v>16</v>
      </c>
      <c r="G465" s="5">
        <v>154.33000000000001</v>
      </c>
      <c r="H465" s="5">
        <v>2469.2800000000002</v>
      </c>
      <c r="I465" s="1" t="s">
        <v>15</v>
      </c>
      <c r="J465" s="1" t="s">
        <v>16</v>
      </c>
      <c r="K465" s="1">
        <v>2</v>
      </c>
    </row>
    <row r="466" spans="1:11" x14ac:dyDescent="0.35">
      <c r="A466" s="1" t="s">
        <v>524</v>
      </c>
      <c r="B466" s="2">
        <v>45481</v>
      </c>
      <c r="C466" s="1" t="s">
        <v>47</v>
      </c>
      <c r="D466" s="1" t="s">
        <v>13</v>
      </c>
      <c r="E466" s="1" t="s">
        <v>64</v>
      </c>
      <c r="F466" s="1">
        <v>13</v>
      </c>
      <c r="G466" s="5">
        <v>195.04</v>
      </c>
      <c r="H466" s="5">
        <v>2535.52</v>
      </c>
      <c r="I466" s="1" t="s">
        <v>56</v>
      </c>
      <c r="J466" s="1" t="s">
        <v>16</v>
      </c>
      <c r="K466" s="1">
        <v>3</v>
      </c>
    </row>
    <row r="467" spans="1:11" x14ac:dyDescent="0.35">
      <c r="A467" s="1" t="s">
        <v>525</v>
      </c>
      <c r="B467" s="2">
        <v>45397</v>
      </c>
      <c r="C467" s="1" t="s">
        <v>18</v>
      </c>
      <c r="D467" s="1" t="s">
        <v>49</v>
      </c>
      <c r="E467" s="1" t="s">
        <v>50</v>
      </c>
      <c r="F467" s="1">
        <v>5</v>
      </c>
      <c r="G467" s="5">
        <v>18.12</v>
      </c>
      <c r="H467" s="5">
        <v>90.600000000000009</v>
      </c>
      <c r="I467" s="1" t="s">
        <v>54</v>
      </c>
      <c r="J467" s="1" t="s">
        <v>16</v>
      </c>
      <c r="K467" s="1">
        <v>2</v>
      </c>
    </row>
    <row r="468" spans="1:11" x14ac:dyDescent="0.35">
      <c r="A468" s="1" t="s">
        <v>526</v>
      </c>
      <c r="B468" s="2">
        <v>45408</v>
      </c>
      <c r="C468" s="1" t="s">
        <v>23</v>
      </c>
      <c r="D468" s="1" t="s">
        <v>13</v>
      </c>
      <c r="E468" s="1" t="s">
        <v>14</v>
      </c>
      <c r="F468" s="1">
        <v>14</v>
      </c>
      <c r="G468" s="5">
        <v>135.91999999999999</v>
      </c>
      <c r="H468" s="5">
        <v>1902.8799999999999</v>
      </c>
      <c r="I468" s="1" t="s">
        <v>54</v>
      </c>
      <c r="J468" s="1" t="s">
        <v>16</v>
      </c>
      <c r="K468" s="1">
        <v>2</v>
      </c>
    </row>
    <row r="469" spans="1:11" x14ac:dyDescent="0.35">
      <c r="A469" s="1" t="s">
        <v>527</v>
      </c>
      <c r="B469" s="2">
        <v>45407</v>
      </c>
      <c r="C469" s="1" t="s">
        <v>47</v>
      </c>
      <c r="D469" s="1" t="s">
        <v>49</v>
      </c>
      <c r="E469" s="1" t="s">
        <v>50</v>
      </c>
      <c r="F469" s="1">
        <v>5</v>
      </c>
      <c r="G469" s="5">
        <v>19.47</v>
      </c>
      <c r="H469" s="5">
        <v>97.35</v>
      </c>
      <c r="I469" s="1" t="s">
        <v>54</v>
      </c>
      <c r="J469" s="1" t="s">
        <v>16</v>
      </c>
      <c r="K469" s="1">
        <v>2</v>
      </c>
    </row>
    <row r="470" spans="1:11" x14ac:dyDescent="0.35">
      <c r="A470" s="1" t="s">
        <v>528</v>
      </c>
      <c r="B470" s="2">
        <v>45568</v>
      </c>
      <c r="C470" s="1" t="s">
        <v>23</v>
      </c>
      <c r="D470" s="1" t="s">
        <v>49</v>
      </c>
      <c r="E470" s="1" t="s">
        <v>81</v>
      </c>
      <c r="F470" s="1">
        <v>3</v>
      </c>
      <c r="G470" s="5">
        <v>15.38</v>
      </c>
      <c r="H470" s="5">
        <v>46.14</v>
      </c>
      <c r="I470" s="1" t="s">
        <v>29</v>
      </c>
      <c r="J470" s="1" t="s">
        <v>16</v>
      </c>
      <c r="K470" s="1">
        <v>4</v>
      </c>
    </row>
    <row r="471" spans="1:11" x14ac:dyDescent="0.35">
      <c r="A471" s="1" t="s">
        <v>529</v>
      </c>
      <c r="B471" s="2">
        <v>45603</v>
      </c>
      <c r="C471" s="1" t="s">
        <v>45</v>
      </c>
      <c r="D471" s="1" t="s">
        <v>39</v>
      </c>
      <c r="E471" s="1" t="s">
        <v>40</v>
      </c>
      <c r="F471" s="1">
        <v>11</v>
      </c>
      <c r="G471" s="5">
        <v>163.24</v>
      </c>
      <c r="H471" s="5">
        <v>1795.64</v>
      </c>
      <c r="I471" s="1" t="s">
        <v>41</v>
      </c>
      <c r="J471" s="1" t="s">
        <v>16</v>
      </c>
      <c r="K471" s="1">
        <v>4</v>
      </c>
    </row>
    <row r="472" spans="1:11" x14ac:dyDescent="0.35">
      <c r="A472" s="1" t="s">
        <v>530</v>
      </c>
      <c r="B472" s="2">
        <v>45438</v>
      </c>
      <c r="C472" s="1" t="s">
        <v>23</v>
      </c>
      <c r="D472" s="1" t="s">
        <v>24</v>
      </c>
      <c r="E472" s="1" t="s">
        <v>73</v>
      </c>
      <c r="F472" s="1">
        <v>11</v>
      </c>
      <c r="G472" s="5">
        <v>127.84</v>
      </c>
      <c r="H472" s="5">
        <v>1406.24</v>
      </c>
      <c r="I472" s="1" t="s">
        <v>59</v>
      </c>
      <c r="J472" s="1" t="s">
        <v>16</v>
      </c>
      <c r="K472" s="1">
        <v>2</v>
      </c>
    </row>
    <row r="473" spans="1:11" x14ac:dyDescent="0.35">
      <c r="A473" s="1" t="s">
        <v>531</v>
      </c>
      <c r="B473" s="2">
        <v>45385</v>
      </c>
      <c r="C473" s="1" t="s">
        <v>23</v>
      </c>
      <c r="D473" s="1" t="s">
        <v>24</v>
      </c>
      <c r="E473" s="1" t="s">
        <v>34</v>
      </c>
      <c r="F473" s="1">
        <v>12</v>
      </c>
      <c r="G473" s="5">
        <v>87.53</v>
      </c>
      <c r="H473" s="5">
        <v>1050.3600000000001</v>
      </c>
      <c r="I473" s="1" t="s">
        <v>54</v>
      </c>
      <c r="J473" s="1" t="s">
        <v>16</v>
      </c>
      <c r="K473" s="1">
        <v>2</v>
      </c>
    </row>
    <row r="474" spans="1:11" x14ac:dyDescent="0.35">
      <c r="A474" s="1" t="s">
        <v>532</v>
      </c>
      <c r="B474" s="2">
        <v>45471</v>
      </c>
      <c r="C474" s="1" t="s">
        <v>18</v>
      </c>
      <c r="D474" s="1" t="s">
        <v>49</v>
      </c>
      <c r="E474" s="1" t="s">
        <v>115</v>
      </c>
      <c r="F474" s="1">
        <v>11</v>
      </c>
      <c r="G474" s="5">
        <v>24</v>
      </c>
      <c r="H474" s="5">
        <v>264</v>
      </c>
      <c r="I474" s="1" t="s">
        <v>15</v>
      </c>
      <c r="J474" s="1" t="s">
        <v>16</v>
      </c>
      <c r="K474" s="1">
        <v>2</v>
      </c>
    </row>
    <row r="475" spans="1:11" x14ac:dyDescent="0.35">
      <c r="A475" s="1" t="s">
        <v>533</v>
      </c>
      <c r="B475" s="2">
        <v>45620</v>
      </c>
      <c r="C475" s="1" t="s">
        <v>12</v>
      </c>
      <c r="D475" s="1" t="s">
        <v>49</v>
      </c>
      <c r="E475" s="1" t="s">
        <v>115</v>
      </c>
      <c r="F475" s="1">
        <v>20</v>
      </c>
      <c r="G475" s="5">
        <v>23.21</v>
      </c>
      <c r="H475" s="5">
        <v>464.20000000000005</v>
      </c>
      <c r="I475" s="1" t="s">
        <v>41</v>
      </c>
      <c r="J475" s="1" t="s">
        <v>16</v>
      </c>
      <c r="K475" s="1">
        <v>4</v>
      </c>
    </row>
    <row r="476" spans="1:11" x14ac:dyDescent="0.35">
      <c r="A476" s="1" t="s">
        <v>534</v>
      </c>
      <c r="B476" s="2">
        <v>45568</v>
      </c>
      <c r="C476" s="1" t="s">
        <v>12</v>
      </c>
      <c r="D476" s="1" t="s">
        <v>13</v>
      </c>
      <c r="E476" s="1" t="s">
        <v>119</v>
      </c>
      <c r="F476" s="1">
        <v>14</v>
      </c>
      <c r="G476" s="5">
        <v>261.01</v>
      </c>
      <c r="H476" s="5">
        <v>3654.14</v>
      </c>
      <c r="I476" s="1" t="s">
        <v>29</v>
      </c>
      <c r="J476" s="1" t="s">
        <v>16</v>
      </c>
      <c r="K476" s="1">
        <v>4</v>
      </c>
    </row>
    <row r="477" spans="1:11" x14ac:dyDescent="0.35">
      <c r="A477" s="1" t="s">
        <v>535</v>
      </c>
      <c r="B477" s="2">
        <v>45467</v>
      </c>
      <c r="C477" s="1" t="s">
        <v>47</v>
      </c>
      <c r="D477" s="1" t="s">
        <v>13</v>
      </c>
      <c r="E477" s="1" t="s">
        <v>119</v>
      </c>
      <c r="F477" s="1">
        <v>16</v>
      </c>
      <c r="G477" s="5">
        <v>248.27</v>
      </c>
      <c r="H477" s="5">
        <v>3972.32</v>
      </c>
      <c r="I477" s="1" t="s">
        <v>15</v>
      </c>
      <c r="J477" s="1" t="s">
        <v>16</v>
      </c>
      <c r="K477" s="1">
        <v>2</v>
      </c>
    </row>
    <row r="478" spans="1:11" x14ac:dyDescent="0.35">
      <c r="A478" s="1" t="s">
        <v>536</v>
      </c>
      <c r="B478" s="2">
        <v>45488</v>
      </c>
      <c r="C478" s="1" t="s">
        <v>47</v>
      </c>
      <c r="D478" s="1" t="s">
        <v>24</v>
      </c>
      <c r="E478" s="1" t="s">
        <v>70</v>
      </c>
      <c r="F478" s="1">
        <v>11</v>
      </c>
      <c r="G478" s="5">
        <v>1205.1600000000001</v>
      </c>
      <c r="H478" s="5">
        <v>13256.76</v>
      </c>
      <c r="I478" s="1" t="s">
        <v>56</v>
      </c>
      <c r="J478" s="1" t="s">
        <v>16</v>
      </c>
      <c r="K478" s="1">
        <v>3</v>
      </c>
    </row>
    <row r="479" spans="1:11" x14ac:dyDescent="0.35">
      <c r="A479" s="1" t="s">
        <v>537</v>
      </c>
      <c r="B479" s="2">
        <v>45607</v>
      </c>
      <c r="C479" s="1" t="s">
        <v>18</v>
      </c>
      <c r="D479" s="1" t="s">
        <v>19</v>
      </c>
      <c r="E479" s="1" t="s">
        <v>31</v>
      </c>
      <c r="F479" s="1">
        <v>2</v>
      </c>
      <c r="G479" s="5">
        <v>576.71</v>
      </c>
      <c r="H479" s="5">
        <v>1153.42</v>
      </c>
      <c r="I479" s="1" t="s">
        <v>41</v>
      </c>
      <c r="J479" s="1" t="s">
        <v>16</v>
      </c>
      <c r="K479" s="1">
        <v>4</v>
      </c>
    </row>
    <row r="480" spans="1:11" x14ac:dyDescent="0.35">
      <c r="A480" s="1" t="s">
        <v>538</v>
      </c>
      <c r="B480" s="2">
        <v>45620</v>
      </c>
      <c r="C480" s="1" t="s">
        <v>45</v>
      </c>
      <c r="D480" s="1" t="s">
        <v>24</v>
      </c>
      <c r="E480" s="1" t="s">
        <v>43</v>
      </c>
      <c r="F480" s="1">
        <v>19</v>
      </c>
      <c r="G480" s="5">
        <v>75.150000000000006</v>
      </c>
      <c r="H480" s="5">
        <v>1427.8500000000001</v>
      </c>
      <c r="I480" s="1" t="s">
        <v>41</v>
      </c>
      <c r="J480" s="1" t="s">
        <v>16</v>
      </c>
      <c r="K480" s="1">
        <v>4</v>
      </c>
    </row>
    <row r="481" spans="1:11" x14ac:dyDescent="0.35">
      <c r="A481" s="1" t="s">
        <v>539</v>
      </c>
      <c r="B481" s="2">
        <v>45393</v>
      </c>
      <c r="C481" s="1" t="s">
        <v>45</v>
      </c>
      <c r="D481" s="1" t="s">
        <v>24</v>
      </c>
      <c r="E481" s="1" t="s">
        <v>70</v>
      </c>
      <c r="F481" s="1">
        <v>8</v>
      </c>
      <c r="G481" s="5">
        <v>1316.01</v>
      </c>
      <c r="H481" s="5">
        <v>10528.08</v>
      </c>
      <c r="I481" s="1" t="s">
        <v>54</v>
      </c>
      <c r="J481" s="1" t="s">
        <v>16</v>
      </c>
      <c r="K481" s="1">
        <v>2</v>
      </c>
    </row>
    <row r="482" spans="1:11" x14ac:dyDescent="0.35">
      <c r="A482" s="1" t="s">
        <v>540</v>
      </c>
      <c r="B482" s="2">
        <v>45584</v>
      </c>
      <c r="C482" s="1" t="s">
        <v>12</v>
      </c>
      <c r="D482" s="1" t="s">
        <v>49</v>
      </c>
      <c r="E482" s="1" t="s">
        <v>52</v>
      </c>
      <c r="F482" s="1">
        <v>13</v>
      </c>
      <c r="G482" s="5">
        <v>25.64</v>
      </c>
      <c r="H482" s="5">
        <v>333.32</v>
      </c>
      <c r="I482" s="1" t="s">
        <v>29</v>
      </c>
      <c r="J482" s="1" t="s">
        <v>16</v>
      </c>
      <c r="K482" s="1">
        <v>4</v>
      </c>
    </row>
    <row r="483" spans="1:11" x14ac:dyDescent="0.35">
      <c r="A483" s="1" t="s">
        <v>541</v>
      </c>
      <c r="B483" s="2">
        <v>45371</v>
      </c>
      <c r="C483" s="1" t="s">
        <v>47</v>
      </c>
      <c r="D483" s="1" t="s">
        <v>19</v>
      </c>
      <c r="E483" s="1" t="s">
        <v>61</v>
      </c>
      <c r="F483" s="1">
        <v>20</v>
      </c>
      <c r="G483" s="5">
        <v>66.08</v>
      </c>
      <c r="H483" s="5">
        <v>1321.6</v>
      </c>
      <c r="I483" s="1" t="s">
        <v>26</v>
      </c>
      <c r="J483" s="1" t="s">
        <v>16</v>
      </c>
      <c r="K483" s="1">
        <v>1</v>
      </c>
    </row>
    <row r="484" spans="1:11" x14ac:dyDescent="0.35">
      <c r="A484" s="1" t="s">
        <v>542</v>
      </c>
      <c r="B484" s="2">
        <v>45540</v>
      </c>
      <c r="C484" s="1" t="s">
        <v>18</v>
      </c>
      <c r="D484" s="1" t="s">
        <v>49</v>
      </c>
      <c r="E484" s="1" t="s">
        <v>99</v>
      </c>
      <c r="F484" s="1">
        <v>9</v>
      </c>
      <c r="G484" s="5">
        <v>57.96</v>
      </c>
      <c r="H484" s="5">
        <v>521.64</v>
      </c>
      <c r="I484" s="1" t="s">
        <v>37</v>
      </c>
      <c r="J484" s="1" t="s">
        <v>16</v>
      </c>
      <c r="K484" s="1">
        <v>3</v>
      </c>
    </row>
    <row r="485" spans="1:11" x14ac:dyDescent="0.35">
      <c r="A485" s="1" t="s">
        <v>543</v>
      </c>
      <c r="B485" s="2">
        <v>45558</v>
      </c>
      <c r="C485" s="1" t="s">
        <v>23</v>
      </c>
      <c r="D485" s="1" t="s">
        <v>49</v>
      </c>
      <c r="E485" s="1" t="s">
        <v>50</v>
      </c>
      <c r="F485" s="1">
        <v>2</v>
      </c>
      <c r="G485" s="5">
        <v>20.9</v>
      </c>
      <c r="H485" s="5">
        <v>41.8</v>
      </c>
      <c r="I485" s="1" t="s">
        <v>37</v>
      </c>
      <c r="J485" s="1" t="s">
        <v>16</v>
      </c>
      <c r="K485" s="1">
        <v>3</v>
      </c>
    </row>
    <row r="486" spans="1:11" x14ac:dyDescent="0.35">
      <c r="A486" s="1" t="s">
        <v>544</v>
      </c>
      <c r="B486" s="2">
        <v>45610</v>
      </c>
      <c r="C486" s="1" t="s">
        <v>18</v>
      </c>
      <c r="D486" s="1" t="s">
        <v>13</v>
      </c>
      <c r="E486" s="1" t="s">
        <v>64</v>
      </c>
      <c r="F486" s="1">
        <v>20</v>
      </c>
      <c r="G486" s="5">
        <v>195</v>
      </c>
      <c r="H486" s="5">
        <v>3900</v>
      </c>
      <c r="I486" s="1" t="s">
        <v>41</v>
      </c>
      <c r="J486" s="1" t="s">
        <v>16</v>
      </c>
      <c r="K486" s="1">
        <v>4</v>
      </c>
    </row>
    <row r="487" spans="1:11" x14ac:dyDescent="0.35">
      <c r="A487" s="1" t="s">
        <v>545</v>
      </c>
      <c r="B487" s="2">
        <v>45300</v>
      </c>
      <c r="C487" s="1" t="s">
        <v>18</v>
      </c>
      <c r="D487" s="1" t="s">
        <v>24</v>
      </c>
      <c r="E487" s="1" t="s">
        <v>70</v>
      </c>
      <c r="F487" s="1">
        <v>9</v>
      </c>
      <c r="G487" s="5">
        <v>1177.8499999999999</v>
      </c>
      <c r="H487" s="5">
        <v>10600.65</v>
      </c>
      <c r="I487" s="1" t="s">
        <v>90</v>
      </c>
      <c r="J487" s="1" t="s">
        <v>16</v>
      </c>
      <c r="K487" s="1">
        <v>1</v>
      </c>
    </row>
    <row r="488" spans="1:11" x14ac:dyDescent="0.35">
      <c r="A488" s="1" t="s">
        <v>546</v>
      </c>
      <c r="B488" s="2">
        <v>45627</v>
      </c>
      <c r="C488" s="1" t="s">
        <v>45</v>
      </c>
      <c r="D488" s="1" t="s">
        <v>39</v>
      </c>
      <c r="E488" s="1" t="s">
        <v>40</v>
      </c>
      <c r="F488" s="1">
        <v>12</v>
      </c>
      <c r="G488" s="5">
        <v>143.93</v>
      </c>
      <c r="H488" s="5">
        <v>1727.16</v>
      </c>
      <c r="I488" s="1" t="s">
        <v>21</v>
      </c>
      <c r="J488" s="1" t="s">
        <v>16</v>
      </c>
      <c r="K488" s="1">
        <v>4</v>
      </c>
    </row>
    <row r="489" spans="1:11" x14ac:dyDescent="0.35">
      <c r="A489" s="1" t="s">
        <v>547</v>
      </c>
      <c r="B489" s="2">
        <v>45337</v>
      </c>
      <c r="C489" s="1" t="s">
        <v>45</v>
      </c>
      <c r="D489" s="1" t="s">
        <v>13</v>
      </c>
      <c r="E489" s="1" t="s">
        <v>14</v>
      </c>
      <c r="F489" s="1">
        <v>14</v>
      </c>
      <c r="G489" s="5">
        <v>140.46</v>
      </c>
      <c r="H489" s="5">
        <v>1966.44</v>
      </c>
      <c r="I489" s="1" t="s">
        <v>67</v>
      </c>
      <c r="J489" s="1" t="s">
        <v>16</v>
      </c>
      <c r="K489" s="1">
        <v>1</v>
      </c>
    </row>
    <row r="490" spans="1:11" x14ac:dyDescent="0.35">
      <c r="A490" s="1" t="s">
        <v>548</v>
      </c>
      <c r="B490" s="2">
        <v>45619</v>
      </c>
      <c r="C490" s="1" t="s">
        <v>23</v>
      </c>
      <c r="D490" s="1" t="s">
        <v>13</v>
      </c>
      <c r="E490" s="1" t="s">
        <v>14</v>
      </c>
      <c r="F490" s="1">
        <v>20</v>
      </c>
      <c r="G490" s="5">
        <v>140.22999999999999</v>
      </c>
      <c r="H490" s="5">
        <v>2804.6</v>
      </c>
      <c r="I490" s="1" t="s">
        <v>41</v>
      </c>
      <c r="J490" s="1" t="s">
        <v>16</v>
      </c>
      <c r="K490" s="1">
        <v>4</v>
      </c>
    </row>
    <row r="491" spans="1:11" x14ac:dyDescent="0.35">
      <c r="A491" s="1" t="s">
        <v>549</v>
      </c>
      <c r="B491" s="2">
        <v>45329</v>
      </c>
      <c r="C491" s="1" t="s">
        <v>23</v>
      </c>
      <c r="D491" s="1" t="s">
        <v>49</v>
      </c>
      <c r="E491" s="1" t="s">
        <v>99</v>
      </c>
      <c r="F491" s="1">
        <v>2</v>
      </c>
      <c r="G491" s="5">
        <v>56.55</v>
      </c>
      <c r="H491" s="5">
        <v>113.1</v>
      </c>
      <c r="I491" s="1" t="s">
        <v>67</v>
      </c>
      <c r="J491" s="1" t="s">
        <v>16</v>
      </c>
      <c r="K491" s="1">
        <v>1</v>
      </c>
    </row>
    <row r="492" spans="1:11" x14ac:dyDescent="0.35">
      <c r="A492" s="1" t="s">
        <v>550</v>
      </c>
      <c r="B492" s="2">
        <v>45348</v>
      </c>
      <c r="C492" s="1" t="s">
        <v>23</v>
      </c>
      <c r="D492" s="1" t="s">
        <v>19</v>
      </c>
      <c r="E492" s="1" t="s">
        <v>61</v>
      </c>
      <c r="F492" s="1">
        <v>4</v>
      </c>
      <c r="G492" s="5">
        <v>66.040000000000006</v>
      </c>
      <c r="H492" s="5">
        <v>264.16000000000003</v>
      </c>
      <c r="I492" s="1" t="s">
        <v>67</v>
      </c>
      <c r="J492" s="1" t="s">
        <v>16</v>
      </c>
      <c r="K492" s="1">
        <v>1</v>
      </c>
    </row>
    <row r="493" spans="1:11" x14ac:dyDescent="0.35">
      <c r="A493" s="1" t="s">
        <v>551</v>
      </c>
      <c r="B493" s="2">
        <v>45611</v>
      </c>
      <c r="C493" s="1" t="s">
        <v>12</v>
      </c>
      <c r="D493" s="1" t="s">
        <v>13</v>
      </c>
      <c r="E493" s="1" t="s">
        <v>64</v>
      </c>
      <c r="F493" s="1">
        <v>1</v>
      </c>
      <c r="G493" s="5">
        <v>183.78</v>
      </c>
      <c r="H493" s="5">
        <v>183.78</v>
      </c>
      <c r="I493" s="1" t="s">
        <v>41</v>
      </c>
      <c r="J493" s="1" t="s">
        <v>16</v>
      </c>
      <c r="K493" s="1">
        <v>4</v>
      </c>
    </row>
    <row r="494" spans="1:11" x14ac:dyDescent="0.35">
      <c r="A494" s="1" t="s">
        <v>552</v>
      </c>
      <c r="B494" s="2">
        <v>45371</v>
      </c>
      <c r="C494" s="1" t="s">
        <v>47</v>
      </c>
      <c r="D494" s="1" t="s">
        <v>24</v>
      </c>
      <c r="E494" s="1" t="s">
        <v>70</v>
      </c>
      <c r="F494" s="1">
        <v>16</v>
      </c>
      <c r="G494" s="5">
        <v>1249.45</v>
      </c>
      <c r="H494" s="5">
        <v>19991.2</v>
      </c>
      <c r="I494" s="1" t="s">
        <v>26</v>
      </c>
      <c r="J494" s="1" t="s">
        <v>16</v>
      </c>
      <c r="K494" s="1">
        <v>1</v>
      </c>
    </row>
    <row r="495" spans="1:11" x14ac:dyDescent="0.35">
      <c r="A495" s="1" t="s">
        <v>553</v>
      </c>
      <c r="B495" s="2">
        <v>45471</v>
      </c>
      <c r="C495" s="1" t="s">
        <v>23</v>
      </c>
      <c r="D495" s="1" t="s">
        <v>19</v>
      </c>
      <c r="E495" s="1" t="s">
        <v>31</v>
      </c>
      <c r="F495" s="1">
        <v>1</v>
      </c>
      <c r="G495" s="5">
        <v>575.9</v>
      </c>
      <c r="H495" s="5">
        <v>575.9</v>
      </c>
      <c r="I495" s="1" t="s">
        <v>15</v>
      </c>
      <c r="J495" s="1" t="s">
        <v>16</v>
      </c>
      <c r="K495" s="1">
        <v>2</v>
      </c>
    </row>
    <row r="496" spans="1:11" x14ac:dyDescent="0.35">
      <c r="A496" s="1" t="s">
        <v>554</v>
      </c>
      <c r="B496" s="2">
        <v>45541</v>
      </c>
      <c r="C496" s="1" t="s">
        <v>18</v>
      </c>
      <c r="D496" s="1" t="s">
        <v>24</v>
      </c>
      <c r="E496" s="1" t="s">
        <v>43</v>
      </c>
      <c r="F496" s="1">
        <v>3</v>
      </c>
      <c r="G496" s="5">
        <v>77.83</v>
      </c>
      <c r="H496" s="5">
        <v>233.49</v>
      </c>
      <c r="I496" s="1" t="s">
        <v>37</v>
      </c>
      <c r="J496" s="1" t="s">
        <v>16</v>
      </c>
      <c r="K496" s="1">
        <v>3</v>
      </c>
    </row>
    <row r="497" spans="1:11" x14ac:dyDescent="0.35">
      <c r="A497" s="1" t="s">
        <v>555</v>
      </c>
      <c r="B497" s="2">
        <v>45521</v>
      </c>
      <c r="C497" s="1" t="s">
        <v>18</v>
      </c>
      <c r="D497" s="1" t="s">
        <v>24</v>
      </c>
      <c r="E497" s="1" t="s">
        <v>70</v>
      </c>
      <c r="F497" s="1">
        <v>1</v>
      </c>
      <c r="G497" s="5">
        <v>1185.08</v>
      </c>
      <c r="H497" s="5">
        <v>1185.08</v>
      </c>
      <c r="I497" s="1" t="s">
        <v>62</v>
      </c>
      <c r="J497" s="1" t="s">
        <v>16</v>
      </c>
      <c r="K497" s="1">
        <v>3</v>
      </c>
    </row>
  </sheetData>
  <conditionalFormatting sqref="H2:H497">
    <cfRule type="cellIs" dxfId="6" priority="4" stopIfTrue="1" operator="greaterThan">
      <formula>15000</formula>
    </cfRule>
  </conditionalFormatting>
  <conditionalFormatting sqref="H1:H1048576">
    <cfRule type="cellIs" dxfId="5" priority="1" stopIfTrue="1" operator="between">
      <formula>6426</formula>
      <formula>19246</formula>
    </cfRule>
    <cfRule type="cellIs" dxfId="4" priority="3" stopIfTrue="1" operator="lessThan">
      <formula>300</formula>
    </cfRule>
  </conditionalFormatting>
  <conditionalFormatting sqref="M5">
    <cfRule type="cellIs" dxfId="3" priority="2" operator="between">
      <formula>1500</formula>
      <formula>200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59999389629810485"/>
  </sheetPr>
  <dimension ref="A3:B83"/>
  <sheetViews>
    <sheetView workbookViewId="0">
      <selection activeCell="B80" sqref="B80"/>
    </sheetView>
  </sheetViews>
  <sheetFormatPr defaultRowHeight="14.5" x14ac:dyDescent="0.35"/>
  <cols>
    <col min="1" max="1" width="12.36328125" customWidth="1"/>
    <col min="2" max="2" width="14.36328125" customWidth="1"/>
    <col min="3" max="11" width="7.36328125" customWidth="1"/>
    <col min="12" max="13" width="8.90625" customWidth="1"/>
    <col min="14" max="14" width="10.7265625" customWidth="1"/>
    <col min="15" max="38" width="10.08984375" customWidth="1"/>
    <col min="39" max="39" width="10.08984375" bestFit="1" customWidth="1"/>
    <col min="40" max="66" width="10.08984375" customWidth="1"/>
    <col min="67" max="67" width="10.08984375" bestFit="1" customWidth="1"/>
    <col min="68" max="71" width="10.08984375" customWidth="1"/>
    <col min="72" max="72" width="10.08984375" bestFit="1" customWidth="1"/>
    <col min="73" max="73" width="10.08984375" customWidth="1"/>
    <col min="74" max="74" width="10.08984375" bestFit="1" customWidth="1"/>
    <col min="75" max="114" width="10.08984375" customWidth="1"/>
    <col min="115" max="115" width="10.08984375" bestFit="1" customWidth="1"/>
    <col min="116" max="117" width="10.08984375" customWidth="1"/>
    <col min="118" max="118" width="10.08984375" bestFit="1" customWidth="1"/>
    <col min="119" max="141" width="10.08984375" customWidth="1"/>
    <col min="142" max="142" width="10.08984375" bestFit="1" customWidth="1"/>
    <col min="143" max="229" width="10.08984375" customWidth="1"/>
    <col min="230" max="230" width="10.08984375" bestFit="1" customWidth="1"/>
    <col min="231" max="235" width="10.08984375" customWidth="1"/>
    <col min="236" max="236" width="10.08984375" bestFit="1" customWidth="1"/>
    <col min="237" max="248" width="10.08984375" customWidth="1"/>
    <col min="249" max="249" width="10.08984375" bestFit="1" customWidth="1"/>
    <col min="250" max="252" width="10.08984375" customWidth="1"/>
    <col min="253" max="253" width="10.08984375" bestFit="1" customWidth="1"/>
    <col min="254" max="260" width="10.08984375" customWidth="1"/>
    <col min="261" max="261" width="10.08984375" bestFit="1" customWidth="1"/>
    <col min="262" max="265" width="10.08984375" customWidth="1"/>
    <col min="266" max="266" width="10.08984375" bestFit="1" customWidth="1"/>
    <col min="267" max="267" width="10.08984375" customWidth="1"/>
    <col min="268" max="268" width="10.7265625" bestFit="1" customWidth="1"/>
  </cols>
  <sheetData>
    <row r="3" spans="1:2" x14ac:dyDescent="0.35">
      <c r="A3" s="3" t="s">
        <v>556</v>
      </c>
      <c r="B3" t="s">
        <v>558</v>
      </c>
    </row>
    <row r="4" spans="1:2" x14ac:dyDescent="0.35">
      <c r="A4" s="9" t="s">
        <v>90</v>
      </c>
      <c r="B4" s="10">
        <v>63948.41</v>
      </c>
    </row>
    <row r="5" spans="1:2" x14ac:dyDescent="0.35">
      <c r="A5" s="9" t="s">
        <v>67</v>
      </c>
      <c r="B5" s="10">
        <v>55572.54</v>
      </c>
    </row>
    <row r="6" spans="1:2" x14ac:dyDescent="0.35">
      <c r="A6" s="9" t="s">
        <v>26</v>
      </c>
      <c r="B6" s="10">
        <v>83376.609999999986</v>
      </c>
    </row>
    <row r="7" spans="1:2" x14ac:dyDescent="0.35">
      <c r="A7" s="9" t="s">
        <v>54</v>
      </c>
      <c r="B7" s="10">
        <v>56569.34</v>
      </c>
    </row>
    <row r="8" spans="1:2" x14ac:dyDescent="0.35">
      <c r="A8" s="9" t="s">
        <v>59</v>
      </c>
      <c r="B8" s="10">
        <v>47950.33</v>
      </c>
    </row>
    <row r="9" spans="1:2" x14ac:dyDescent="0.35">
      <c r="A9" s="9" t="s">
        <v>15</v>
      </c>
      <c r="B9" s="10">
        <v>82073.200000000012</v>
      </c>
    </row>
    <row r="10" spans="1:2" x14ac:dyDescent="0.35">
      <c r="A10" s="9" t="s">
        <v>56</v>
      </c>
      <c r="B10" s="10">
        <v>43565.39</v>
      </c>
    </row>
    <row r="11" spans="1:2" x14ac:dyDescent="0.35">
      <c r="A11" s="9" t="s">
        <v>62</v>
      </c>
      <c r="B11" s="10">
        <v>76532.030000000013</v>
      </c>
    </row>
    <row r="12" spans="1:2" x14ac:dyDescent="0.35">
      <c r="A12" s="9" t="s">
        <v>37</v>
      </c>
      <c r="B12" s="10">
        <v>48702.420000000013</v>
      </c>
    </row>
    <row r="13" spans="1:2" x14ac:dyDescent="0.35">
      <c r="A13" s="9" t="s">
        <v>29</v>
      </c>
      <c r="B13" s="10">
        <v>81181.73000000001</v>
      </c>
    </row>
    <row r="14" spans="1:2" x14ac:dyDescent="0.35">
      <c r="A14" s="9" t="s">
        <v>41</v>
      </c>
      <c r="B14" s="10">
        <v>102564.81</v>
      </c>
    </row>
    <row r="15" spans="1:2" x14ac:dyDescent="0.35">
      <c r="A15" s="9" t="s">
        <v>21</v>
      </c>
      <c r="B15" s="10">
        <v>128725.60999999999</v>
      </c>
    </row>
    <row r="16" spans="1:2" x14ac:dyDescent="0.35">
      <c r="A16" s="9" t="s">
        <v>557</v>
      </c>
      <c r="B16" s="10">
        <v>870762.42</v>
      </c>
    </row>
    <row r="19" spans="1:2" x14ac:dyDescent="0.35">
      <c r="A19" s="3" t="s">
        <v>556</v>
      </c>
      <c r="B19" t="s">
        <v>558</v>
      </c>
    </row>
    <row r="20" spans="1:2" x14ac:dyDescent="0.35">
      <c r="A20" s="4" t="s">
        <v>49</v>
      </c>
      <c r="B20" s="11">
        <v>29690.329999999998</v>
      </c>
    </row>
    <row r="21" spans="1:2" x14ac:dyDescent="0.35">
      <c r="A21" s="4" t="s">
        <v>24</v>
      </c>
      <c r="B21" s="11">
        <v>286551.4599999999</v>
      </c>
    </row>
    <row r="22" spans="1:2" x14ac:dyDescent="0.35">
      <c r="A22" s="4" t="s">
        <v>13</v>
      </c>
      <c r="B22" s="11">
        <v>153880.21000000002</v>
      </c>
    </row>
    <row r="23" spans="1:2" x14ac:dyDescent="0.35">
      <c r="A23" s="4" t="s">
        <v>19</v>
      </c>
      <c r="B23" s="11">
        <v>229639.63000000009</v>
      </c>
    </row>
    <row r="24" spans="1:2" x14ac:dyDescent="0.35">
      <c r="A24" s="4" t="s">
        <v>39</v>
      </c>
      <c r="B24" s="11">
        <v>171000.79000000007</v>
      </c>
    </row>
    <row r="25" spans="1:2" x14ac:dyDescent="0.35">
      <c r="A25" s="4" t="s">
        <v>557</v>
      </c>
      <c r="B25" s="11">
        <v>870762.42</v>
      </c>
    </row>
    <row r="38" spans="1:2" x14ac:dyDescent="0.35">
      <c r="A38" s="3" t="s">
        <v>556</v>
      </c>
      <c r="B38" t="s">
        <v>558</v>
      </c>
    </row>
    <row r="39" spans="1:2" x14ac:dyDescent="0.35">
      <c r="A39" s="4" t="s">
        <v>110</v>
      </c>
      <c r="B39" s="1">
        <v>45874.37</v>
      </c>
    </row>
    <row r="40" spans="1:2" x14ac:dyDescent="0.35">
      <c r="A40" s="4" t="s">
        <v>86</v>
      </c>
      <c r="B40" s="1">
        <v>47659.98000000001</v>
      </c>
    </row>
    <row r="41" spans="1:2" x14ac:dyDescent="0.35">
      <c r="A41" s="4" t="s">
        <v>83</v>
      </c>
      <c r="B41" s="1">
        <v>68333.409999999989</v>
      </c>
    </row>
    <row r="42" spans="1:2" x14ac:dyDescent="0.35">
      <c r="A42" s="4" t="s">
        <v>70</v>
      </c>
      <c r="B42" s="1">
        <v>183045.11</v>
      </c>
    </row>
    <row r="43" spans="1:2" x14ac:dyDescent="0.35">
      <c r="A43" s="4" t="s">
        <v>119</v>
      </c>
      <c r="B43" s="1">
        <v>44342.140000000007</v>
      </c>
    </row>
    <row r="44" spans="1:2" x14ac:dyDescent="0.35">
      <c r="A44" s="4" t="s">
        <v>40</v>
      </c>
      <c r="B44" s="1">
        <v>44279.97</v>
      </c>
    </row>
    <row r="45" spans="1:2" x14ac:dyDescent="0.35">
      <c r="A45" s="4" t="s">
        <v>25</v>
      </c>
      <c r="B45" s="1">
        <v>37593.009999999995</v>
      </c>
    </row>
    <row r="46" spans="1:2" x14ac:dyDescent="0.35">
      <c r="A46" s="4" t="s">
        <v>31</v>
      </c>
      <c r="B46" s="1">
        <v>121689.29999999999</v>
      </c>
    </row>
    <row r="47" spans="1:2" x14ac:dyDescent="0.35">
      <c r="A47" s="4" t="s">
        <v>14</v>
      </c>
      <c r="B47" s="1">
        <v>53894.29</v>
      </c>
    </row>
    <row r="48" spans="1:2" x14ac:dyDescent="0.35">
      <c r="A48" s="4" t="s">
        <v>64</v>
      </c>
      <c r="B48" s="1">
        <v>42534.02</v>
      </c>
    </row>
    <row r="49" spans="1:2" x14ac:dyDescent="0.35">
      <c r="A49" s="4" t="s">
        <v>557</v>
      </c>
      <c r="B49" s="11">
        <v>689245.60000000009</v>
      </c>
    </row>
    <row r="69" spans="1:2" x14ac:dyDescent="0.35">
      <c r="A69" s="3" t="s">
        <v>556</v>
      </c>
      <c r="B69" t="s">
        <v>558</v>
      </c>
    </row>
    <row r="70" spans="1:2" x14ac:dyDescent="0.35">
      <c r="A70" s="4" t="s">
        <v>18</v>
      </c>
      <c r="B70" s="11">
        <v>163254.18999999992</v>
      </c>
    </row>
    <row r="71" spans="1:2" x14ac:dyDescent="0.35">
      <c r="A71" s="4" t="s">
        <v>23</v>
      </c>
      <c r="B71" s="11">
        <v>171212.62</v>
      </c>
    </row>
    <row r="72" spans="1:2" x14ac:dyDescent="0.35">
      <c r="A72" s="4" t="s">
        <v>47</v>
      </c>
      <c r="B72" s="11">
        <v>194640.9800000001</v>
      </c>
    </row>
    <row r="73" spans="1:2" x14ac:dyDescent="0.35">
      <c r="A73" s="4" t="s">
        <v>45</v>
      </c>
      <c r="B73" s="11">
        <v>143218.65000000005</v>
      </c>
    </row>
    <row r="74" spans="1:2" x14ac:dyDescent="0.35">
      <c r="A74" s="4" t="s">
        <v>12</v>
      </c>
      <c r="B74" s="11">
        <v>198435.98000000004</v>
      </c>
    </row>
    <row r="75" spans="1:2" x14ac:dyDescent="0.35">
      <c r="A75" s="4" t="s">
        <v>557</v>
      </c>
      <c r="B75" s="11">
        <v>870762.42000000016</v>
      </c>
    </row>
    <row r="78" spans="1:2" x14ac:dyDescent="0.35">
      <c r="A78" s="3" t="s">
        <v>556</v>
      </c>
      <c r="B78" t="s">
        <v>558</v>
      </c>
    </row>
    <row r="79" spans="1:2" x14ac:dyDescent="0.35">
      <c r="A79" s="4">
        <v>1</v>
      </c>
      <c r="B79" s="11">
        <v>202897.56000000003</v>
      </c>
    </row>
    <row r="80" spans="1:2" x14ac:dyDescent="0.35">
      <c r="A80" s="4">
        <v>2</v>
      </c>
      <c r="B80" s="11">
        <v>186592.86999999994</v>
      </c>
    </row>
    <row r="81" spans="1:2" x14ac:dyDescent="0.35">
      <c r="A81" s="4">
        <v>3</v>
      </c>
      <c r="B81" s="11">
        <v>168799.84</v>
      </c>
    </row>
    <row r="82" spans="1:2" x14ac:dyDescent="0.35">
      <c r="A82" s="4">
        <v>4</v>
      </c>
      <c r="B82" s="11">
        <v>312472.15000000002</v>
      </c>
    </row>
    <row r="83" spans="1:2" x14ac:dyDescent="0.35">
      <c r="A83" s="4" t="s">
        <v>557</v>
      </c>
      <c r="B83" s="11">
        <v>870762.41999999993</v>
      </c>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W4"/>
  <sheetViews>
    <sheetView showGridLines="0" tabSelected="1" zoomScale="60" zoomScaleNormal="60" workbookViewId="0">
      <selection activeCell="R3" sqref="R3"/>
    </sheetView>
  </sheetViews>
  <sheetFormatPr defaultRowHeight="14.5" x14ac:dyDescent="0.35"/>
  <cols>
    <col min="2" max="2" width="12.6328125" bestFit="1" customWidth="1"/>
    <col min="4" max="4" width="27.81640625" customWidth="1"/>
    <col min="6" max="6" width="14.36328125" bestFit="1" customWidth="1"/>
    <col min="8" max="8" width="10.08984375" bestFit="1" customWidth="1"/>
    <col min="10" max="10" width="17.6328125" bestFit="1" customWidth="1"/>
    <col min="11" max="11" width="4.1796875" customWidth="1"/>
    <col min="12" max="12" width="9.08984375" bestFit="1" customWidth="1"/>
    <col min="13" max="13" width="3.26953125" customWidth="1"/>
    <col min="14" max="14" width="19.6328125" bestFit="1" customWidth="1"/>
    <col min="15" max="15" width="3" customWidth="1"/>
    <col min="16" max="16" width="14.08984375" bestFit="1" customWidth="1"/>
    <col min="17" max="17" width="10.08984375" bestFit="1" customWidth="1"/>
    <col min="21" max="21" width="19.453125" bestFit="1" customWidth="1"/>
  </cols>
  <sheetData>
    <row r="1" spans="1:23" ht="23.5" x14ac:dyDescent="0.55000000000000004">
      <c r="A1" s="8" t="s">
        <v>566</v>
      </c>
      <c r="B1" s="8"/>
      <c r="C1" s="8"/>
      <c r="D1" s="8"/>
      <c r="E1" s="8"/>
      <c r="F1" s="8"/>
      <c r="G1" s="8"/>
      <c r="H1" s="8"/>
      <c r="I1" s="8"/>
      <c r="J1" s="8"/>
      <c r="K1" s="8"/>
      <c r="L1" s="8"/>
      <c r="M1" s="8"/>
      <c r="N1" s="8"/>
      <c r="O1" s="8"/>
      <c r="P1" s="8"/>
      <c r="Q1" s="8"/>
      <c r="R1" s="8"/>
      <c r="S1" s="8"/>
      <c r="T1" s="8"/>
      <c r="U1" s="8"/>
      <c r="V1" s="8"/>
      <c r="W1" s="8"/>
    </row>
    <row r="3" spans="1:23" x14ac:dyDescent="0.35">
      <c r="J3" s="13" t="s">
        <v>559</v>
      </c>
      <c r="L3" s="13" t="s">
        <v>560</v>
      </c>
      <c r="N3" s="13" t="s">
        <v>561</v>
      </c>
      <c r="P3" s="13" t="s">
        <v>562</v>
      </c>
    </row>
    <row r="4" spans="1:23" x14ac:dyDescent="0.35">
      <c r="J4" s="12">
        <f>GETPIVOTDATA("Revenue",'Pivot Tables'!$A$3)</f>
        <v>870762.42</v>
      </c>
      <c r="L4" s="7">
        <f>SUM(SalesData[Quantity])</f>
        <v>5364</v>
      </c>
      <c r="N4" s="12">
        <f>AVERAGE(SalesData[Revenue])</f>
        <v>1755.5693951612911</v>
      </c>
      <c r="P4" s="7" t="str">
        <f>INDEX(SalesData[Region],MATCH(MAX(SUMIF(SalesData[Region],{"North","South","East","West","Central"},SalesData[Revenue])),SUMIF(SalesData[Region],{"North","South","East","West","Central"},SalesData[Revenue]),0))</f>
        <v>West</v>
      </c>
    </row>
  </sheetData>
  <mergeCells count="1">
    <mergeCell ref="A1:W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287D77-8CC7-4ED3-A4AF-7DA0A9340B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Sales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2026-05-13T15:11:39Z</dcterms:created>
  <dcterms:modified xsi:type="dcterms:W3CDTF">2026-05-25T17:26:10Z</dcterms:modified>
</cp:coreProperties>
</file>